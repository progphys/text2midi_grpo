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настасия Загоскина\Desktop\"/>
    </mc:Choice>
  </mc:AlternateContent>
  <xr:revisionPtr revIDLastSave="0" documentId="13_ncr:1_{EBAC60D1-294B-4B36-A8CE-583DA0EFC59E}" xr6:coauthVersionLast="47" xr6:coauthVersionMax="47" xr10:uidLastSave="{00000000-0000-0000-0000-000000000000}"/>
  <bookViews>
    <workbookView xWindow="-108" yWindow="-108" windowWidth="23256" windowHeight="12576" firstSheet="6" activeTab="11" xr2:uid="{00000000-000D-0000-FFFF-FFFF00000000}"/>
  </bookViews>
  <sheets>
    <sheet name="2ек2" sheetId="1" r:id="rId1"/>
    <sheet name="2ев4" sheetId="2" r:id="rId2"/>
    <sheet name="насос 2НД2" sheetId="3" r:id="rId3"/>
    <sheet name="насос 2НД1" sheetId="4" r:id="rId4"/>
    <sheet name="насос 2НД1 (2)" sheetId="5" r:id="rId5"/>
    <sheet name="2НД2 04.03.2026" sheetId="7" r:id="rId6"/>
    <sheet name="среда расчет" sheetId="8" r:id="rId7"/>
    <sheet name="2ек2 12.03.2026" sheetId="9" r:id="rId8"/>
    <sheet name="2ЕЩ6 24.03.2026" sheetId="10" r:id="rId9"/>
    <sheet name="2ЕЩ6 24.03.2026 (2)" sheetId="11" r:id="rId10"/>
    <sheet name="3ЕТ1 18.05.2026" sheetId="12" r:id="rId11"/>
    <sheet name="3ЕВ3 18.05.2026" sheetId="13" r:id="rId1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8" l="1"/>
  <c r="I5" i="8"/>
  <c r="E8" i="8"/>
  <c r="E5" i="8"/>
  <c r="I6" i="8"/>
  <c r="I13" i="8"/>
  <c r="I12" i="8"/>
  <c r="I11" i="8"/>
  <c r="I10" i="8"/>
  <c r="I9" i="8"/>
  <c r="I8" i="8"/>
  <c r="I7" i="8"/>
  <c r="E14" i="8"/>
  <c r="E13" i="8"/>
  <c r="E12" i="8"/>
  <c r="E11" i="8"/>
  <c r="E10" i="8"/>
  <c r="E9" i="8"/>
  <c r="E7" i="8"/>
  <c r="E6" i="8"/>
  <c r="H10" i="8"/>
  <c r="D13" i="8"/>
  <c r="H14" i="8"/>
  <c r="H13" i="8"/>
  <c r="H12" i="8"/>
  <c r="H11" i="8"/>
  <c r="H8" i="8"/>
  <c r="H7" i="8"/>
  <c r="H9" i="8"/>
  <c r="H6" i="8"/>
  <c r="H5" i="8"/>
  <c r="D14" i="8"/>
  <c r="D12" i="8"/>
  <c r="D11" i="8"/>
  <c r="D10" i="8"/>
  <c r="D9" i="8"/>
  <c r="D8" i="8"/>
  <c r="D7" i="8"/>
  <c r="D6" i="8"/>
  <c r="D5" i="8"/>
  <c r="C10" i="5"/>
  <c r="C9" i="5"/>
  <c r="C10" i="4"/>
  <c r="C9" i="4"/>
</calcChain>
</file>

<file path=xl/sharedStrings.xml><?xml version="1.0" encoding="utf-8"?>
<sst xmlns="http://schemas.openxmlformats.org/spreadsheetml/2006/main" count="102" uniqueCount="50">
  <si>
    <t>начало 16.30 20.10.2025</t>
  </si>
  <si>
    <t>кг</t>
  </si>
  <si>
    <t>сырые показания</t>
  </si>
  <si>
    <t>1852 датчик верхнего уровня сработал</t>
  </si>
  <si>
    <t xml:space="preserve">начало </t>
  </si>
  <si>
    <t>Записать когда сработал датчик верхнего уровня 2LRA4, время, сырые показание</t>
  </si>
  <si>
    <t>Калибровка 2ЕВ4</t>
  </si>
  <si>
    <t>конец</t>
  </si>
  <si>
    <t>вес</t>
  </si>
  <si>
    <t>частота</t>
  </si>
  <si>
    <t>Насос 2НД2</t>
  </si>
  <si>
    <t>время работы на каждой частоте 10 минут</t>
  </si>
  <si>
    <t>начало 17:02 29.12.2025</t>
  </si>
  <si>
    <t>конец 18:16 29.12.2025</t>
  </si>
  <si>
    <t>загорелся датчик верхнего уровня, емкость полная, больше наливать не стали</t>
  </si>
  <si>
    <t>Насос 2НД1</t>
  </si>
  <si>
    <t xml:space="preserve">конец </t>
  </si>
  <si>
    <t>начало</t>
  </si>
  <si>
    <t>18.37</t>
  </si>
  <si>
    <t>18.15</t>
  </si>
  <si>
    <t>18.25</t>
  </si>
  <si>
    <t>18.47</t>
  </si>
  <si>
    <t>18.57</t>
  </si>
  <si>
    <t>19.07</t>
  </si>
  <si>
    <t>19.17</t>
  </si>
  <si>
    <t>19.27</t>
  </si>
  <si>
    <t>19.31</t>
  </si>
  <si>
    <t>давление больше 10,7 бар</t>
  </si>
  <si>
    <t>19.41</t>
  </si>
  <si>
    <t>давление 9,93 бар</t>
  </si>
  <si>
    <t>ПФ-5 от 05.03.2026</t>
  </si>
  <si>
    <t>Вода, литров</t>
  </si>
  <si>
    <t>CuSO4*5H2O, грамм</t>
  </si>
  <si>
    <t>FeSO4*7H2O, грамм</t>
  </si>
  <si>
    <t>ZnSO4*7H2O, грамм</t>
  </si>
  <si>
    <t>Na2MoO4*2H2O, грамм</t>
  </si>
  <si>
    <t>MnSO4*H2O, грамм</t>
  </si>
  <si>
    <t>H3PO4 (73%), грамм</t>
  </si>
  <si>
    <t>MgSO4*7H2O, грамм</t>
  </si>
  <si>
    <t>CaCl2, грамм</t>
  </si>
  <si>
    <t>KOH, грамм</t>
  </si>
  <si>
    <t>K2SO4, грамм</t>
  </si>
  <si>
    <t>ПФ-40 от 06.03.2026</t>
  </si>
  <si>
    <t>MgSO4 * 7Н2О, грамм</t>
  </si>
  <si>
    <t>1 л</t>
  </si>
  <si>
    <t>Калибровка 2ЕЩ6</t>
  </si>
  <si>
    <t>Калибровка 3ЕТ1</t>
  </si>
  <si>
    <t>загорелся датчик нижнего уровня</t>
  </si>
  <si>
    <t>загорелся датчик верхнего уровня</t>
  </si>
  <si>
    <t>Калибровка 3ЕВ3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</si>
</sst>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0" fillId="0" borderId="0" xfId="0" applyAlignment="1">
      <alignment horizontal="center"/>
    </xf>
    <xf numFmtId="0" fontId="6" fillId="0" borderId="0" xfId="0" applyFont="1" applyBorder="1" applyAlignment="1">
      <alignment horizontal="left"/>
    </xf>
    <xf numFmtId="22" fontId="6" fillId="0" borderId="0" xfId="0" applyNumberFormat="1" applyFont="1"/>
    <xf numFmtId="0" fontId="0" fillId="0" borderId="1" xfId="0" applyBorder="1" applyAlignment="1">
      <alignment horizontal="center"/>
    </xf>
    <xf numFmtId="0" fontId="4" fillId="0" borderId="0" xfId="0" applyFont="1"/>
    <xf numFmtId="22" fontId="6" fillId="0" borderId="0" xfId="0" applyNumberFormat="1" applyFont="1" applyBorder="1"/>
    <xf numFmtId="49" fontId="6" fillId="0" borderId="1" xfId="0" applyNumberFormat="1" applyFont="1" applyBorder="1" applyAlignment="1">
      <alignment horizontal="center" vertical="center"/>
    </xf>
    <xf numFmtId="0" fontId="3" fillId="0" borderId="0" xfId="0" applyFont="1"/>
    <xf numFmtId="9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3" borderId="1" xfId="0" applyFont="1" applyFill="1" applyBorder="1"/>
    <xf numFmtId="0" fontId="6" fillId="2" borderId="1" xfId="0" applyFont="1" applyFill="1" applyBorder="1"/>
    <xf numFmtId="164" fontId="6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22" fontId="6" fillId="0" borderId="1" xfId="0" applyNumberFormat="1" applyFont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'2ек2'!$C$3</c:f>
              <c:strCache>
                <c:ptCount val="1"/>
                <c:pt idx="0">
                  <c:v>сырые показания</c:v>
                </c:pt>
              </c:strCache>
            </c:strRef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'2ек2'!$B$4:$B$53</c:f>
              <c:numCache>
                <c:formatCode>General</c:formatCode>
                <c:ptCount val="5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350</c:v>
                </c:pt>
                <c:pt idx="17">
                  <c:v>400</c:v>
                </c:pt>
                <c:pt idx="18">
                  <c:v>450</c:v>
                </c:pt>
                <c:pt idx="19">
                  <c:v>500</c:v>
                </c:pt>
                <c:pt idx="20">
                  <c:v>550</c:v>
                </c:pt>
                <c:pt idx="21">
                  <c:v>600</c:v>
                </c:pt>
                <c:pt idx="22">
                  <c:v>650</c:v>
                </c:pt>
                <c:pt idx="23">
                  <c:v>700</c:v>
                </c:pt>
                <c:pt idx="24">
                  <c:v>750</c:v>
                </c:pt>
                <c:pt idx="25">
                  <c:v>800</c:v>
                </c:pt>
                <c:pt idx="26">
                  <c:v>850</c:v>
                </c:pt>
                <c:pt idx="27">
                  <c:v>900</c:v>
                </c:pt>
                <c:pt idx="28">
                  <c:v>950</c:v>
                </c:pt>
                <c:pt idx="29">
                  <c:v>1000</c:v>
                </c:pt>
                <c:pt idx="30">
                  <c:v>1050</c:v>
                </c:pt>
                <c:pt idx="31">
                  <c:v>1100</c:v>
                </c:pt>
                <c:pt idx="32">
                  <c:v>1150</c:v>
                </c:pt>
                <c:pt idx="33">
                  <c:v>1200</c:v>
                </c:pt>
                <c:pt idx="34">
                  <c:v>1250</c:v>
                </c:pt>
                <c:pt idx="35">
                  <c:v>1300</c:v>
                </c:pt>
                <c:pt idx="36">
                  <c:v>1350</c:v>
                </c:pt>
                <c:pt idx="37">
                  <c:v>1400</c:v>
                </c:pt>
                <c:pt idx="38">
                  <c:v>1450</c:v>
                </c:pt>
                <c:pt idx="39">
                  <c:v>1500</c:v>
                </c:pt>
                <c:pt idx="40">
                  <c:v>1550</c:v>
                </c:pt>
                <c:pt idx="41">
                  <c:v>1600</c:v>
                </c:pt>
                <c:pt idx="42">
                  <c:v>1650</c:v>
                </c:pt>
                <c:pt idx="43">
                  <c:v>1700</c:v>
                </c:pt>
                <c:pt idx="44">
                  <c:v>1750</c:v>
                </c:pt>
                <c:pt idx="45">
                  <c:v>1800</c:v>
                </c:pt>
                <c:pt idx="46">
                  <c:v>1850</c:v>
                </c:pt>
                <c:pt idx="47">
                  <c:v>1900</c:v>
                </c:pt>
                <c:pt idx="48">
                  <c:v>1950</c:v>
                </c:pt>
                <c:pt idx="49">
                  <c:v>2000</c:v>
                </c:pt>
              </c:numCache>
            </c:numRef>
          </c:xVal>
          <c:yVal>
            <c:numRef>
              <c:f>'2ек2'!$C$4:$C$53</c:f>
              <c:numCache>
                <c:formatCode>General</c:formatCode>
                <c:ptCount val="50"/>
                <c:pt idx="0">
                  <c:v>152</c:v>
                </c:pt>
                <c:pt idx="1">
                  <c:v>149</c:v>
                </c:pt>
                <c:pt idx="2">
                  <c:v>1134</c:v>
                </c:pt>
                <c:pt idx="3">
                  <c:v>1403</c:v>
                </c:pt>
                <c:pt idx="4">
                  <c:v>1623</c:v>
                </c:pt>
                <c:pt idx="5">
                  <c:v>1823</c:v>
                </c:pt>
                <c:pt idx="6">
                  <c:v>1971</c:v>
                </c:pt>
                <c:pt idx="7">
                  <c:v>2151</c:v>
                </c:pt>
                <c:pt idx="8">
                  <c:v>2280</c:v>
                </c:pt>
                <c:pt idx="9">
                  <c:v>2447</c:v>
                </c:pt>
                <c:pt idx="10">
                  <c:v>2583</c:v>
                </c:pt>
                <c:pt idx="11">
                  <c:v>2702</c:v>
                </c:pt>
                <c:pt idx="12">
                  <c:v>2810</c:v>
                </c:pt>
                <c:pt idx="13">
                  <c:v>2927</c:v>
                </c:pt>
                <c:pt idx="14">
                  <c:v>3079</c:v>
                </c:pt>
                <c:pt idx="15">
                  <c:v>3201</c:v>
                </c:pt>
                <c:pt idx="16">
                  <c:v>3505</c:v>
                </c:pt>
                <c:pt idx="17">
                  <c:v>3788</c:v>
                </c:pt>
                <c:pt idx="18">
                  <c:v>4169</c:v>
                </c:pt>
                <c:pt idx="19">
                  <c:v>4449</c:v>
                </c:pt>
                <c:pt idx="20">
                  <c:v>4777</c:v>
                </c:pt>
                <c:pt idx="21">
                  <c:v>5062</c:v>
                </c:pt>
                <c:pt idx="22">
                  <c:v>5386</c:v>
                </c:pt>
                <c:pt idx="23">
                  <c:v>5719</c:v>
                </c:pt>
                <c:pt idx="24">
                  <c:v>6041</c:v>
                </c:pt>
                <c:pt idx="25">
                  <c:v>6359</c:v>
                </c:pt>
                <c:pt idx="26">
                  <c:v>6668</c:v>
                </c:pt>
                <c:pt idx="27">
                  <c:v>6977</c:v>
                </c:pt>
                <c:pt idx="28">
                  <c:v>7277</c:v>
                </c:pt>
                <c:pt idx="29">
                  <c:v>7592</c:v>
                </c:pt>
                <c:pt idx="30">
                  <c:v>7903</c:v>
                </c:pt>
                <c:pt idx="31">
                  <c:v>8225</c:v>
                </c:pt>
                <c:pt idx="32">
                  <c:v>8543</c:v>
                </c:pt>
                <c:pt idx="33">
                  <c:v>8848</c:v>
                </c:pt>
                <c:pt idx="34">
                  <c:v>9162</c:v>
                </c:pt>
                <c:pt idx="35">
                  <c:v>9457</c:v>
                </c:pt>
                <c:pt idx="36">
                  <c:v>9790</c:v>
                </c:pt>
                <c:pt idx="37">
                  <c:v>10100</c:v>
                </c:pt>
                <c:pt idx="38">
                  <c:v>10390</c:v>
                </c:pt>
                <c:pt idx="39">
                  <c:v>10697</c:v>
                </c:pt>
                <c:pt idx="40">
                  <c:v>11015</c:v>
                </c:pt>
                <c:pt idx="41">
                  <c:v>11330</c:v>
                </c:pt>
                <c:pt idx="42">
                  <c:v>11640</c:v>
                </c:pt>
                <c:pt idx="43">
                  <c:v>11955</c:v>
                </c:pt>
                <c:pt idx="44">
                  <c:v>12260</c:v>
                </c:pt>
                <c:pt idx="45">
                  <c:v>12585</c:v>
                </c:pt>
                <c:pt idx="46">
                  <c:v>12885</c:v>
                </c:pt>
                <c:pt idx="47">
                  <c:v>13195</c:v>
                </c:pt>
                <c:pt idx="48">
                  <c:v>13515</c:v>
                </c:pt>
                <c:pt idx="49">
                  <c:v>13825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89-4DE5-9E3B-789FFE407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596016"/>
        <c:axId val="1370606416"/>
      </c:scatterChart>
      <c:valAx>
        <c:axId val="1370596016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кг по весам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endParaRPr lang="ru-RU"/>
          </a:p>
        </c:txPr>
        <c:crossAx val="1370606416"/>
        <c:crosses val="autoZero"/>
        <c:crossBetween val="midCat"/>
      </c:valAx>
      <c:valAx>
        <c:axId val="137060641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сырые показания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Liberation Sans"/>
                <a:cs typeface="Liberation Sans"/>
              </a:defRPr>
            </a:pPr>
            <a:endParaRPr lang="ru-RU"/>
          </a:p>
        </c:txPr>
        <c:crossAx val="1370596016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'2ев4'!$C$3</c:f>
              <c:strCache>
                <c:ptCount val="1"/>
                <c:pt idx="0">
                  <c:v>сырые показания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'2ев4'!$B$4:$B$72</c:f>
              <c:numCache>
                <c:formatCode>General</c:formatCode>
                <c:ptCount val="6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350</c:v>
                </c:pt>
                <c:pt idx="17">
                  <c:v>400</c:v>
                </c:pt>
                <c:pt idx="18">
                  <c:v>450</c:v>
                </c:pt>
                <c:pt idx="19">
                  <c:v>500</c:v>
                </c:pt>
                <c:pt idx="20">
                  <c:v>550</c:v>
                </c:pt>
                <c:pt idx="21">
                  <c:v>600</c:v>
                </c:pt>
                <c:pt idx="22">
                  <c:v>650</c:v>
                </c:pt>
                <c:pt idx="23">
                  <c:v>700</c:v>
                </c:pt>
                <c:pt idx="24">
                  <c:v>750</c:v>
                </c:pt>
                <c:pt idx="25">
                  <c:v>800</c:v>
                </c:pt>
                <c:pt idx="26">
                  <c:v>850</c:v>
                </c:pt>
                <c:pt idx="27">
                  <c:v>900</c:v>
                </c:pt>
                <c:pt idx="28">
                  <c:v>950</c:v>
                </c:pt>
                <c:pt idx="29">
                  <c:v>1000</c:v>
                </c:pt>
                <c:pt idx="30">
                  <c:v>1050</c:v>
                </c:pt>
                <c:pt idx="31">
                  <c:v>1100</c:v>
                </c:pt>
                <c:pt idx="32">
                  <c:v>1150</c:v>
                </c:pt>
                <c:pt idx="33">
                  <c:v>1200</c:v>
                </c:pt>
                <c:pt idx="34">
                  <c:v>1250</c:v>
                </c:pt>
                <c:pt idx="35">
                  <c:v>1300</c:v>
                </c:pt>
                <c:pt idx="36">
                  <c:v>1350</c:v>
                </c:pt>
                <c:pt idx="37">
                  <c:v>1400</c:v>
                </c:pt>
                <c:pt idx="38">
                  <c:v>1450</c:v>
                </c:pt>
                <c:pt idx="39">
                  <c:v>1500</c:v>
                </c:pt>
                <c:pt idx="40">
                  <c:v>1550</c:v>
                </c:pt>
                <c:pt idx="41">
                  <c:v>1600</c:v>
                </c:pt>
                <c:pt idx="42">
                  <c:v>1650</c:v>
                </c:pt>
                <c:pt idx="43">
                  <c:v>1700</c:v>
                </c:pt>
                <c:pt idx="44">
                  <c:v>1750</c:v>
                </c:pt>
                <c:pt idx="45">
                  <c:v>1800</c:v>
                </c:pt>
                <c:pt idx="46">
                  <c:v>1850</c:v>
                </c:pt>
                <c:pt idx="47">
                  <c:v>1900</c:v>
                </c:pt>
                <c:pt idx="48">
                  <c:v>1950</c:v>
                </c:pt>
                <c:pt idx="49">
                  <c:v>2000</c:v>
                </c:pt>
                <c:pt idx="50">
                  <c:v>2050</c:v>
                </c:pt>
                <c:pt idx="51">
                  <c:v>2100</c:v>
                </c:pt>
                <c:pt idx="52">
                  <c:v>2150</c:v>
                </c:pt>
                <c:pt idx="53">
                  <c:v>2200</c:v>
                </c:pt>
                <c:pt idx="54">
                  <c:v>2250</c:v>
                </c:pt>
                <c:pt idx="55">
                  <c:v>2300</c:v>
                </c:pt>
                <c:pt idx="56">
                  <c:v>2350</c:v>
                </c:pt>
                <c:pt idx="57">
                  <c:v>2400</c:v>
                </c:pt>
                <c:pt idx="58">
                  <c:v>2450</c:v>
                </c:pt>
                <c:pt idx="59">
                  <c:v>2500</c:v>
                </c:pt>
                <c:pt idx="60">
                  <c:v>2550</c:v>
                </c:pt>
                <c:pt idx="61">
                  <c:v>2600</c:v>
                </c:pt>
                <c:pt idx="62">
                  <c:v>2650</c:v>
                </c:pt>
                <c:pt idx="63">
                  <c:v>2700</c:v>
                </c:pt>
                <c:pt idx="64">
                  <c:v>2750</c:v>
                </c:pt>
                <c:pt idx="65">
                  <c:v>2800</c:v>
                </c:pt>
                <c:pt idx="66">
                  <c:v>2850</c:v>
                </c:pt>
                <c:pt idx="67">
                  <c:v>2900</c:v>
                </c:pt>
                <c:pt idx="68">
                  <c:v>2945</c:v>
                </c:pt>
              </c:numCache>
            </c:numRef>
          </c:xVal>
          <c:yVal>
            <c:numRef>
              <c:f>'2ев4'!$C$4:$C$72</c:f>
              <c:numCache>
                <c:formatCode>General</c:formatCode>
                <c:ptCount val="69"/>
                <c:pt idx="0">
                  <c:v>311</c:v>
                </c:pt>
                <c:pt idx="1">
                  <c:v>471</c:v>
                </c:pt>
                <c:pt idx="2">
                  <c:v>600</c:v>
                </c:pt>
                <c:pt idx="3">
                  <c:v>753</c:v>
                </c:pt>
                <c:pt idx="4">
                  <c:v>910</c:v>
                </c:pt>
                <c:pt idx="5">
                  <c:v>1072</c:v>
                </c:pt>
                <c:pt idx="6">
                  <c:v>1159</c:v>
                </c:pt>
                <c:pt idx="7">
                  <c:v>1370</c:v>
                </c:pt>
                <c:pt idx="8">
                  <c:v>1512</c:v>
                </c:pt>
                <c:pt idx="9">
                  <c:v>1610</c:v>
                </c:pt>
                <c:pt idx="10">
                  <c:v>1800</c:v>
                </c:pt>
                <c:pt idx="11">
                  <c:v>1932</c:v>
                </c:pt>
                <c:pt idx="12">
                  <c:v>2118</c:v>
                </c:pt>
                <c:pt idx="13">
                  <c:v>2251</c:v>
                </c:pt>
                <c:pt idx="14">
                  <c:v>2394</c:v>
                </c:pt>
                <c:pt idx="15">
                  <c:v>2555</c:v>
                </c:pt>
                <c:pt idx="16">
                  <c:v>2934</c:v>
                </c:pt>
                <c:pt idx="17">
                  <c:v>3324</c:v>
                </c:pt>
                <c:pt idx="18">
                  <c:v>3680</c:v>
                </c:pt>
                <c:pt idx="19">
                  <c:v>4062</c:v>
                </c:pt>
                <c:pt idx="20">
                  <c:v>4447</c:v>
                </c:pt>
                <c:pt idx="21">
                  <c:v>4817</c:v>
                </c:pt>
                <c:pt idx="22">
                  <c:v>5200</c:v>
                </c:pt>
                <c:pt idx="23">
                  <c:v>5588</c:v>
                </c:pt>
                <c:pt idx="24">
                  <c:v>5944</c:v>
                </c:pt>
                <c:pt idx="25">
                  <c:v>6331</c:v>
                </c:pt>
                <c:pt idx="26">
                  <c:v>6693</c:v>
                </c:pt>
                <c:pt idx="27">
                  <c:v>7083</c:v>
                </c:pt>
                <c:pt idx="28">
                  <c:v>7468</c:v>
                </c:pt>
                <c:pt idx="29">
                  <c:v>7837</c:v>
                </c:pt>
                <c:pt idx="30">
                  <c:v>8208</c:v>
                </c:pt>
                <c:pt idx="31">
                  <c:v>8609</c:v>
                </c:pt>
                <c:pt idx="32">
                  <c:v>8967</c:v>
                </c:pt>
                <c:pt idx="33">
                  <c:v>9337</c:v>
                </c:pt>
                <c:pt idx="34">
                  <c:v>9712</c:v>
                </c:pt>
                <c:pt idx="35">
                  <c:v>9800</c:v>
                </c:pt>
                <c:pt idx="36">
                  <c:v>9905</c:v>
                </c:pt>
                <c:pt idx="37">
                  <c:v>10078</c:v>
                </c:pt>
                <c:pt idx="38">
                  <c:v>10445</c:v>
                </c:pt>
                <c:pt idx="39">
                  <c:v>10831</c:v>
                </c:pt>
                <c:pt idx="40">
                  <c:v>11217</c:v>
                </c:pt>
                <c:pt idx="41">
                  <c:v>11602</c:v>
                </c:pt>
                <c:pt idx="42">
                  <c:v>11990</c:v>
                </c:pt>
                <c:pt idx="43">
                  <c:v>12355</c:v>
                </c:pt>
                <c:pt idx="44">
                  <c:v>12738</c:v>
                </c:pt>
                <c:pt idx="45">
                  <c:v>13114</c:v>
                </c:pt>
                <c:pt idx="46">
                  <c:v>13497</c:v>
                </c:pt>
                <c:pt idx="47">
                  <c:v>13794</c:v>
                </c:pt>
                <c:pt idx="48">
                  <c:v>14178</c:v>
                </c:pt>
                <c:pt idx="49">
                  <c:v>14546</c:v>
                </c:pt>
                <c:pt idx="50">
                  <c:v>14941</c:v>
                </c:pt>
                <c:pt idx="51">
                  <c:v>15316</c:v>
                </c:pt>
                <c:pt idx="52">
                  <c:v>15699</c:v>
                </c:pt>
                <c:pt idx="53">
                  <c:v>16071</c:v>
                </c:pt>
                <c:pt idx="54">
                  <c:v>16444</c:v>
                </c:pt>
                <c:pt idx="55">
                  <c:v>16801</c:v>
                </c:pt>
                <c:pt idx="56">
                  <c:v>17191</c:v>
                </c:pt>
                <c:pt idx="57">
                  <c:v>17578</c:v>
                </c:pt>
                <c:pt idx="58">
                  <c:v>17955</c:v>
                </c:pt>
                <c:pt idx="59">
                  <c:v>18341</c:v>
                </c:pt>
                <c:pt idx="60">
                  <c:v>18701</c:v>
                </c:pt>
                <c:pt idx="61">
                  <c:v>19083</c:v>
                </c:pt>
                <c:pt idx="62">
                  <c:v>19478</c:v>
                </c:pt>
                <c:pt idx="63">
                  <c:v>19847</c:v>
                </c:pt>
                <c:pt idx="64">
                  <c:v>20208</c:v>
                </c:pt>
                <c:pt idx="65">
                  <c:v>20599</c:v>
                </c:pt>
                <c:pt idx="66">
                  <c:v>20977</c:v>
                </c:pt>
                <c:pt idx="67">
                  <c:v>21356</c:v>
                </c:pt>
                <c:pt idx="68">
                  <c:v>21693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AF-4C63-9669-AF461A6CE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113871"/>
        <c:axId val="637114287"/>
      </c:scatterChart>
      <c:valAx>
        <c:axId val="63711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вес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7114287"/>
        <c:crosses val="autoZero"/>
        <c:crossBetween val="midCat"/>
      </c:valAx>
      <c:valAx>
        <c:axId val="63711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сырые  показания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711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'2ек2 12.03.2026'!$B$4:$B$19</c:f>
              <c:numCache>
                <c:formatCode>General</c:formatCode>
                <c:ptCount val="1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</c:numCache>
            </c:numRef>
          </c:xVal>
          <c:yVal>
            <c:numRef>
              <c:f>'2ек2 12.03.2026'!$C$4:$C$19</c:f>
              <c:numCache>
                <c:formatCode>General</c:formatCode>
                <c:ptCount val="16"/>
                <c:pt idx="0">
                  <c:v>390</c:v>
                </c:pt>
                <c:pt idx="1">
                  <c:v>393</c:v>
                </c:pt>
                <c:pt idx="2">
                  <c:v>817</c:v>
                </c:pt>
                <c:pt idx="3">
                  <c:v>1076</c:v>
                </c:pt>
                <c:pt idx="4">
                  <c:v>1374</c:v>
                </c:pt>
                <c:pt idx="5">
                  <c:v>1589</c:v>
                </c:pt>
                <c:pt idx="6">
                  <c:v>1766</c:v>
                </c:pt>
                <c:pt idx="7">
                  <c:v>1978</c:v>
                </c:pt>
                <c:pt idx="8">
                  <c:v>2101</c:v>
                </c:pt>
                <c:pt idx="9">
                  <c:v>2278</c:v>
                </c:pt>
                <c:pt idx="10">
                  <c:v>2370</c:v>
                </c:pt>
                <c:pt idx="11">
                  <c:v>2521</c:v>
                </c:pt>
                <c:pt idx="12">
                  <c:v>2691</c:v>
                </c:pt>
                <c:pt idx="13">
                  <c:v>2816</c:v>
                </c:pt>
                <c:pt idx="14">
                  <c:v>2951</c:v>
                </c:pt>
                <c:pt idx="15">
                  <c:v>3073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C6-445A-8DCA-35CA89648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937920"/>
        <c:axId val="878929184"/>
      </c:scatterChart>
      <c:valAx>
        <c:axId val="87893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929184"/>
        <c:crosses val="autoZero"/>
        <c:crossBetween val="midCat"/>
      </c:valAx>
      <c:valAx>
        <c:axId val="87892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93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'2ЕЩ6 24.03.2026'!$C$4</c:f>
              <c:strCache>
                <c:ptCount val="1"/>
                <c:pt idx="0">
                  <c:v>сырые показания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'2ЕЩ6 24.03.2026'!$B$5:$B$23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'2ЕЩ6 24.03.2026'!$C$5:$C$23</c:f>
              <c:numCache>
                <c:formatCode>General</c:formatCode>
                <c:ptCount val="19"/>
                <c:pt idx="0">
                  <c:v>-1216</c:v>
                </c:pt>
                <c:pt idx="1">
                  <c:v>-920</c:v>
                </c:pt>
                <c:pt idx="2">
                  <c:v>-4</c:v>
                </c:pt>
                <c:pt idx="3">
                  <c:v>861</c:v>
                </c:pt>
                <c:pt idx="4">
                  <c:v>1687</c:v>
                </c:pt>
                <c:pt idx="5">
                  <c:v>2453</c:v>
                </c:pt>
                <c:pt idx="6">
                  <c:v>3043</c:v>
                </c:pt>
                <c:pt idx="7">
                  <c:v>3643</c:v>
                </c:pt>
                <c:pt idx="8">
                  <c:v>3855</c:v>
                </c:pt>
                <c:pt idx="9">
                  <c:v>4314</c:v>
                </c:pt>
                <c:pt idx="10">
                  <c:v>4811</c:v>
                </c:pt>
                <c:pt idx="11">
                  <c:v>5141</c:v>
                </c:pt>
                <c:pt idx="12">
                  <c:v>5491</c:v>
                </c:pt>
                <c:pt idx="13">
                  <c:v>5206</c:v>
                </c:pt>
                <c:pt idx="14">
                  <c:v>4913</c:v>
                </c:pt>
                <c:pt idx="15">
                  <c:v>4773</c:v>
                </c:pt>
                <c:pt idx="16">
                  <c:v>5074</c:v>
                </c:pt>
                <c:pt idx="17">
                  <c:v>5179</c:v>
                </c:pt>
                <c:pt idx="18">
                  <c:v>5392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07-4894-BB7B-48126CB7E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193136"/>
        <c:axId val="1985211024"/>
      </c:scatterChart>
      <c:valAx>
        <c:axId val="198519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5211024"/>
        <c:crosses val="autoZero"/>
        <c:crossBetween val="midCat"/>
      </c:valAx>
      <c:valAx>
        <c:axId val="19852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519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'2ЕЩ6 24.03.2026 (2)'!$C$4</c:f>
              <c:strCache>
                <c:ptCount val="1"/>
                <c:pt idx="0">
                  <c:v>сырые показания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'2ЕЩ6 24.03.2026 (2)'!$B$5:$B$24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</c:numCache>
            </c:numRef>
          </c:xVal>
          <c:yVal>
            <c:numRef>
              <c:f>'2ЕЩ6 24.03.2026 (2)'!$C$5:$C$24</c:f>
              <c:numCache>
                <c:formatCode>General</c:formatCode>
                <c:ptCount val="20"/>
                <c:pt idx="0">
                  <c:v>-785</c:v>
                </c:pt>
                <c:pt idx="1">
                  <c:v>-637</c:v>
                </c:pt>
                <c:pt idx="2">
                  <c:v>239</c:v>
                </c:pt>
                <c:pt idx="3">
                  <c:v>1045</c:v>
                </c:pt>
                <c:pt idx="4">
                  <c:v>1903</c:v>
                </c:pt>
                <c:pt idx="5">
                  <c:v>2763</c:v>
                </c:pt>
                <c:pt idx="6">
                  <c:v>3613</c:v>
                </c:pt>
                <c:pt idx="7">
                  <c:v>4417</c:v>
                </c:pt>
                <c:pt idx="8">
                  <c:v>5308</c:v>
                </c:pt>
                <c:pt idx="9">
                  <c:v>6145</c:v>
                </c:pt>
                <c:pt idx="10">
                  <c:v>7032</c:v>
                </c:pt>
                <c:pt idx="11">
                  <c:v>7838</c:v>
                </c:pt>
                <c:pt idx="12">
                  <c:v>8711</c:v>
                </c:pt>
                <c:pt idx="13">
                  <c:v>9609</c:v>
                </c:pt>
                <c:pt idx="14">
                  <c:v>10420</c:v>
                </c:pt>
                <c:pt idx="15">
                  <c:v>11233</c:v>
                </c:pt>
                <c:pt idx="16">
                  <c:v>12044</c:v>
                </c:pt>
                <c:pt idx="17">
                  <c:v>12882</c:v>
                </c:pt>
                <c:pt idx="18">
                  <c:v>13707</c:v>
                </c:pt>
                <c:pt idx="19">
                  <c:v>14453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C5-4FAF-B573-AF76364C9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55695"/>
        <c:axId val="1513152783"/>
      </c:scatterChart>
      <c:valAx>
        <c:axId val="151315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3152783"/>
        <c:crosses val="autoZero"/>
        <c:crossBetween val="midCat"/>
      </c:valAx>
      <c:valAx>
        <c:axId val="151315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315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1362031940365"/>
          <c:y val="7.1700356718192637E-2"/>
          <c:w val="0.86100017278404462"/>
          <c:h val="0.809393579072532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'3ЕТ1 18.05.2026'!$B$5:$B$25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35</c:v>
                </c:pt>
                <c:pt idx="17">
                  <c:v>40</c:v>
                </c:pt>
                <c:pt idx="18">
                  <c:v>45</c:v>
                </c:pt>
                <c:pt idx="19">
                  <c:v>50</c:v>
                </c:pt>
                <c:pt idx="20">
                  <c:v>55</c:v>
                </c:pt>
              </c:numCache>
            </c:numRef>
          </c:xVal>
          <c:yVal>
            <c:numRef>
              <c:f>'3ЕТ1 18.05.2026'!$C$5:$C$25</c:f>
              <c:numCache>
                <c:formatCode>General</c:formatCode>
                <c:ptCount val="21"/>
                <c:pt idx="0">
                  <c:v>-487</c:v>
                </c:pt>
                <c:pt idx="1">
                  <c:v>1127</c:v>
                </c:pt>
                <c:pt idx="2">
                  <c:v>2427</c:v>
                </c:pt>
                <c:pt idx="3">
                  <c:v>3296</c:v>
                </c:pt>
                <c:pt idx="4">
                  <c:v>4010</c:v>
                </c:pt>
                <c:pt idx="5">
                  <c:v>4650</c:v>
                </c:pt>
                <c:pt idx="6">
                  <c:v>5145</c:v>
                </c:pt>
                <c:pt idx="7">
                  <c:v>5593</c:v>
                </c:pt>
                <c:pt idx="8">
                  <c:v>6055</c:v>
                </c:pt>
                <c:pt idx="9">
                  <c:v>6512</c:v>
                </c:pt>
                <c:pt idx="10">
                  <c:v>6955</c:v>
                </c:pt>
                <c:pt idx="11">
                  <c:v>7420</c:v>
                </c:pt>
                <c:pt idx="12">
                  <c:v>7842</c:v>
                </c:pt>
                <c:pt idx="13">
                  <c:v>8317</c:v>
                </c:pt>
                <c:pt idx="14">
                  <c:v>8750</c:v>
                </c:pt>
                <c:pt idx="15">
                  <c:v>9234</c:v>
                </c:pt>
                <c:pt idx="16">
                  <c:v>10342</c:v>
                </c:pt>
                <c:pt idx="17">
                  <c:v>11501</c:v>
                </c:pt>
                <c:pt idx="18">
                  <c:v>12628</c:v>
                </c:pt>
                <c:pt idx="19">
                  <c:v>13730</c:v>
                </c:pt>
                <c:pt idx="20">
                  <c:v>14860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D-4F2E-9906-2901E8CD0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807215"/>
        <c:axId val="1110807631"/>
      </c:scatterChart>
      <c:valAx>
        <c:axId val="111080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807631"/>
        <c:crosses val="autoZero"/>
        <c:crossBetween val="midCat"/>
      </c:valAx>
      <c:valAx>
        <c:axId val="111080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80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'3ЕВ3 18.05.2026'!$C$4</c:f>
              <c:strCache>
                <c:ptCount val="1"/>
                <c:pt idx="0">
                  <c:v>сырые показания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'3ЕВ3 18.05.2026'!$B$5:$B$31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100</c:v>
                </c:pt>
                <c:pt idx="19">
                  <c:v>110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150</c:v>
                </c:pt>
                <c:pt idx="24">
                  <c:v>160</c:v>
                </c:pt>
                <c:pt idx="25">
                  <c:v>170</c:v>
                </c:pt>
                <c:pt idx="26">
                  <c:v>180</c:v>
                </c:pt>
              </c:numCache>
            </c:numRef>
          </c:xVal>
          <c:yVal>
            <c:numRef>
              <c:f>'3ЕВ3 18.05.2026'!$C$5:$C$31</c:f>
              <c:numCache>
                <c:formatCode>General</c:formatCode>
                <c:ptCount val="27"/>
                <c:pt idx="0">
                  <c:v>4708</c:v>
                </c:pt>
                <c:pt idx="1">
                  <c:v>4960</c:v>
                </c:pt>
                <c:pt idx="2">
                  <c:v>4983</c:v>
                </c:pt>
                <c:pt idx="3">
                  <c:v>4994</c:v>
                </c:pt>
                <c:pt idx="4">
                  <c:v>5130</c:v>
                </c:pt>
                <c:pt idx="5">
                  <c:v>5663</c:v>
                </c:pt>
                <c:pt idx="6">
                  <c:v>6012</c:v>
                </c:pt>
                <c:pt idx="7">
                  <c:v>6606</c:v>
                </c:pt>
                <c:pt idx="8">
                  <c:v>7250</c:v>
                </c:pt>
                <c:pt idx="9">
                  <c:v>7623</c:v>
                </c:pt>
                <c:pt idx="10">
                  <c:v>8321</c:v>
                </c:pt>
                <c:pt idx="11">
                  <c:v>8720</c:v>
                </c:pt>
                <c:pt idx="12">
                  <c:v>9270</c:v>
                </c:pt>
                <c:pt idx="13">
                  <c:v>9835</c:v>
                </c:pt>
                <c:pt idx="14">
                  <c:v>10419</c:v>
                </c:pt>
                <c:pt idx="15">
                  <c:v>10950</c:v>
                </c:pt>
                <c:pt idx="16">
                  <c:v>11554</c:v>
                </c:pt>
                <c:pt idx="17">
                  <c:v>12032</c:v>
                </c:pt>
                <c:pt idx="18">
                  <c:v>12606</c:v>
                </c:pt>
                <c:pt idx="19">
                  <c:v>13663</c:v>
                </c:pt>
                <c:pt idx="20">
                  <c:v>14710</c:v>
                </c:pt>
                <c:pt idx="21">
                  <c:v>15775</c:v>
                </c:pt>
                <c:pt idx="22">
                  <c:v>16809</c:v>
                </c:pt>
                <c:pt idx="23">
                  <c:v>17906</c:v>
                </c:pt>
                <c:pt idx="24">
                  <c:v>19008</c:v>
                </c:pt>
                <c:pt idx="25">
                  <c:v>20087</c:v>
                </c:pt>
                <c:pt idx="26">
                  <c:v>21120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39-45DE-9944-86166F21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130064"/>
        <c:axId val="487130480"/>
      </c:scatterChart>
      <c:valAx>
        <c:axId val="48713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130480"/>
        <c:crosses val="autoZero"/>
        <c:crossBetween val="midCat"/>
      </c:valAx>
      <c:valAx>
        <c:axId val="4871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13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</xdr:row>
      <xdr:rowOff>3810</xdr:rowOff>
    </xdr:from>
    <xdr:to>
      <xdr:col>18</xdr:col>
      <xdr:colOff>121920</xdr:colOff>
      <xdr:row>28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1</xdr:row>
      <xdr:rowOff>83820</xdr:rowOff>
    </xdr:from>
    <xdr:to>
      <xdr:col>15</xdr:col>
      <xdr:colOff>68580</xdr:colOff>
      <xdr:row>24</xdr:row>
      <xdr:rowOff>53340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D5E7597-DCE5-4ED2-BA87-1AE40B11F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830580</xdr:colOff>
      <xdr:row>3</xdr:row>
      <xdr:rowOff>45720</xdr:rowOff>
    </xdr:from>
    <xdr:to>
      <xdr:col>14</xdr:col>
      <xdr:colOff>182880</xdr:colOff>
      <xdr:row>24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7032BDF-5A8D-4086-BBDF-1D1C93440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1</xdr:row>
      <xdr:rowOff>45720</xdr:rowOff>
    </xdr:from>
    <xdr:to>
      <xdr:col>13</xdr:col>
      <xdr:colOff>144780</xdr:colOff>
      <xdr:row>23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30DDFCD-B923-46DD-AB6E-9D8AFF176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5</xdr:row>
      <xdr:rowOff>179070</xdr:rowOff>
    </xdr:from>
    <xdr:to>
      <xdr:col>12</xdr:col>
      <xdr:colOff>121920</xdr:colOff>
      <xdr:row>20</xdr:row>
      <xdr:rowOff>179070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1AC94FE-3E30-45AC-98DD-35DA58BEF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6</xdr:row>
      <xdr:rowOff>76200</xdr:rowOff>
    </xdr:from>
    <xdr:to>
      <xdr:col>14</xdr:col>
      <xdr:colOff>480060</xdr:colOff>
      <xdr:row>23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86F876A-19EB-4146-896E-0CBBEAACC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7</xdr:row>
      <xdr:rowOff>152400</xdr:rowOff>
    </xdr:from>
    <xdr:to>
      <xdr:col>16</xdr:col>
      <xdr:colOff>137160</xdr:colOff>
      <xdr:row>27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42BDF29-42EB-42D7-A496-4F54B2E03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3"/>
  <sheetViews>
    <sheetView workbookViewId="0">
      <selection activeCell="C9" sqref="C9"/>
    </sheetView>
  </sheetViews>
  <sheetFormatPr defaultRowHeight="14.4" x14ac:dyDescent="0.3"/>
  <cols>
    <col min="3" max="3" width="21.109375" customWidth="1"/>
  </cols>
  <sheetData>
    <row r="2" spans="2:3" x14ac:dyDescent="0.3">
      <c r="B2" s="1" t="s">
        <v>0</v>
      </c>
    </row>
    <row r="3" spans="2:3" x14ac:dyDescent="0.3">
      <c r="B3" s="2" t="s">
        <v>1</v>
      </c>
      <c r="C3" s="2" t="s">
        <v>2</v>
      </c>
    </row>
    <row r="4" spans="2:3" x14ac:dyDescent="0.3">
      <c r="B4" s="2">
        <v>0</v>
      </c>
      <c r="C4" s="2">
        <v>152</v>
      </c>
    </row>
    <row r="5" spans="2:3" x14ac:dyDescent="0.3">
      <c r="B5" s="2">
        <v>20</v>
      </c>
      <c r="C5" s="2">
        <v>149</v>
      </c>
    </row>
    <row r="6" spans="2:3" x14ac:dyDescent="0.3">
      <c r="B6" s="2">
        <v>40</v>
      </c>
      <c r="C6" s="2">
        <v>1134</v>
      </c>
    </row>
    <row r="7" spans="2:3" x14ac:dyDescent="0.3">
      <c r="B7" s="2">
        <v>60</v>
      </c>
      <c r="C7" s="2">
        <v>1403</v>
      </c>
    </row>
    <row r="8" spans="2:3" x14ac:dyDescent="0.3">
      <c r="B8" s="2">
        <v>80</v>
      </c>
      <c r="C8" s="2">
        <v>1623</v>
      </c>
    </row>
    <row r="9" spans="2:3" x14ac:dyDescent="0.3">
      <c r="B9" s="2">
        <v>100</v>
      </c>
      <c r="C9" s="2">
        <v>1823</v>
      </c>
    </row>
    <row r="10" spans="2:3" x14ac:dyDescent="0.3">
      <c r="B10" s="2">
        <v>120</v>
      </c>
      <c r="C10" s="2">
        <v>1971</v>
      </c>
    </row>
    <row r="11" spans="2:3" x14ac:dyDescent="0.3">
      <c r="B11" s="2">
        <v>140</v>
      </c>
      <c r="C11" s="2">
        <v>2151</v>
      </c>
    </row>
    <row r="12" spans="2:3" x14ac:dyDescent="0.3">
      <c r="B12" s="2">
        <v>160</v>
      </c>
      <c r="C12" s="2">
        <v>2280</v>
      </c>
    </row>
    <row r="13" spans="2:3" x14ac:dyDescent="0.3">
      <c r="B13" s="2">
        <v>180</v>
      </c>
      <c r="C13" s="2">
        <v>2447</v>
      </c>
    </row>
    <row r="14" spans="2:3" x14ac:dyDescent="0.3">
      <c r="B14" s="2">
        <v>200</v>
      </c>
      <c r="C14" s="2">
        <v>2583</v>
      </c>
    </row>
    <row r="15" spans="2:3" x14ac:dyDescent="0.3">
      <c r="B15" s="2">
        <v>220</v>
      </c>
      <c r="C15" s="2">
        <v>2702</v>
      </c>
    </row>
    <row r="16" spans="2:3" x14ac:dyDescent="0.3">
      <c r="B16" s="2">
        <v>240</v>
      </c>
      <c r="C16" s="2">
        <v>2810</v>
      </c>
    </row>
    <row r="17" spans="2:3" x14ac:dyDescent="0.3">
      <c r="B17" s="2">
        <v>260</v>
      </c>
      <c r="C17" s="2">
        <v>2927</v>
      </c>
    </row>
    <row r="18" spans="2:3" x14ac:dyDescent="0.3">
      <c r="B18" s="2">
        <v>280</v>
      </c>
      <c r="C18" s="2">
        <v>3079</v>
      </c>
    </row>
    <row r="19" spans="2:3" x14ac:dyDescent="0.3">
      <c r="B19" s="2">
        <v>300</v>
      </c>
      <c r="C19" s="2">
        <v>3201</v>
      </c>
    </row>
    <row r="20" spans="2:3" x14ac:dyDescent="0.3">
      <c r="B20" s="2">
        <v>350</v>
      </c>
      <c r="C20" s="2">
        <v>3505</v>
      </c>
    </row>
    <row r="21" spans="2:3" x14ac:dyDescent="0.3">
      <c r="B21" s="2">
        <v>400</v>
      </c>
      <c r="C21" s="2">
        <v>3788</v>
      </c>
    </row>
    <row r="22" spans="2:3" x14ac:dyDescent="0.3">
      <c r="B22" s="2">
        <v>450</v>
      </c>
      <c r="C22" s="2">
        <v>4169</v>
      </c>
    </row>
    <row r="23" spans="2:3" x14ac:dyDescent="0.3">
      <c r="B23" s="2">
        <v>500</v>
      </c>
      <c r="C23" s="2">
        <v>4449</v>
      </c>
    </row>
    <row r="24" spans="2:3" x14ac:dyDescent="0.3">
      <c r="B24" s="2">
        <v>550</v>
      </c>
      <c r="C24" s="2">
        <v>4777</v>
      </c>
    </row>
    <row r="25" spans="2:3" x14ac:dyDescent="0.3">
      <c r="B25" s="2">
        <v>600</v>
      </c>
      <c r="C25" s="2">
        <v>5062</v>
      </c>
    </row>
    <row r="26" spans="2:3" x14ac:dyDescent="0.3">
      <c r="B26" s="2">
        <v>650</v>
      </c>
      <c r="C26" s="2">
        <v>5386</v>
      </c>
    </row>
    <row r="27" spans="2:3" x14ac:dyDescent="0.3">
      <c r="B27" s="2">
        <v>700</v>
      </c>
      <c r="C27" s="2">
        <v>5719</v>
      </c>
    </row>
    <row r="28" spans="2:3" x14ac:dyDescent="0.3">
      <c r="B28" s="2">
        <v>750</v>
      </c>
      <c r="C28" s="2">
        <v>6041</v>
      </c>
    </row>
    <row r="29" spans="2:3" x14ac:dyDescent="0.3">
      <c r="B29" s="2">
        <v>800</v>
      </c>
      <c r="C29" s="2">
        <v>6359</v>
      </c>
    </row>
    <row r="30" spans="2:3" x14ac:dyDescent="0.3">
      <c r="B30" s="2">
        <v>850</v>
      </c>
      <c r="C30" s="2">
        <v>6668</v>
      </c>
    </row>
    <row r="31" spans="2:3" x14ac:dyDescent="0.3">
      <c r="B31" s="2">
        <v>900</v>
      </c>
      <c r="C31" s="2">
        <v>6977</v>
      </c>
    </row>
    <row r="32" spans="2:3" x14ac:dyDescent="0.3">
      <c r="B32" s="2">
        <v>950</v>
      </c>
      <c r="C32" s="2">
        <v>7277</v>
      </c>
    </row>
    <row r="33" spans="2:3" x14ac:dyDescent="0.3">
      <c r="B33" s="2">
        <v>1000</v>
      </c>
      <c r="C33" s="2">
        <v>7592</v>
      </c>
    </row>
    <row r="34" spans="2:3" x14ac:dyDescent="0.3">
      <c r="B34" s="2">
        <v>1050</v>
      </c>
      <c r="C34" s="2">
        <v>7903</v>
      </c>
    </row>
    <row r="35" spans="2:3" x14ac:dyDescent="0.3">
      <c r="B35" s="2">
        <v>1100</v>
      </c>
      <c r="C35" s="2">
        <v>8225</v>
      </c>
    </row>
    <row r="36" spans="2:3" x14ac:dyDescent="0.3">
      <c r="B36" s="2">
        <v>1150</v>
      </c>
      <c r="C36" s="2">
        <v>8543</v>
      </c>
    </row>
    <row r="37" spans="2:3" x14ac:dyDescent="0.3">
      <c r="B37" s="2">
        <v>1200</v>
      </c>
      <c r="C37" s="2">
        <v>8848</v>
      </c>
    </row>
    <row r="38" spans="2:3" x14ac:dyDescent="0.3">
      <c r="B38" s="2">
        <v>1250</v>
      </c>
      <c r="C38" s="2">
        <v>9162</v>
      </c>
    </row>
    <row r="39" spans="2:3" x14ac:dyDescent="0.3">
      <c r="B39" s="2">
        <v>1300</v>
      </c>
      <c r="C39" s="2">
        <v>9457</v>
      </c>
    </row>
    <row r="40" spans="2:3" x14ac:dyDescent="0.3">
      <c r="B40" s="2">
        <v>1350</v>
      </c>
      <c r="C40" s="2">
        <v>9790</v>
      </c>
    </row>
    <row r="41" spans="2:3" x14ac:dyDescent="0.3">
      <c r="B41" s="2">
        <v>1400</v>
      </c>
      <c r="C41" s="2">
        <v>10100</v>
      </c>
    </row>
    <row r="42" spans="2:3" x14ac:dyDescent="0.3">
      <c r="B42" s="2">
        <v>1450</v>
      </c>
      <c r="C42" s="2">
        <v>10390</v>
      </c>
    </row>
    <row r="43" spans="2:3" x14ac:dyDescent="0.3">
      <c r="B43" s="2">
        <v>1500</v>
      </c>
      <c r="C43" s="2">
        <v>10697</v>
      </c>
    </row>
    <row r="44" spans="2:3" x14ac:dyDescent="0.3">
      <c r="B44" s="2">
        <v>1550</v>
      </c>
      <c r="C44" s="2">
        <v>11015</v>
      </c>
    </row>
    <row r="45" spans="2:3" x14ac:dyDescent="0.3">
      <c r="B45" s="2">
        <v>1600</v>
      </c>
      <c r="C45" s="2">
        <v>11330</v>
      </c>
    </row>
    <row r="46" spans="2:3" x14ac:dyDescent="0.3">
      <c r="B46" s="2">
        <v>1650</v>
      </c>
      <c r="C46" s="2">
        <v>11640</v>
      </c>
    </row>
    <row r="47" spans="2:3" x14ac:dyDescent="0.3">
      <c r="B47" s="2">
        <v>1700</v>
      </c>
      <c r="C47" s="2">
        <v>11955</v>
      </c>
    </row>
    <row r="48" spans="2:3" x14ac:dyDescent="0.3">
      <c r="B48" s="2">
        <v>1750</v>
      </c>
      <c r="C48" s="2">
        <v>12260</v>
      </c>
    </row>
    <row r="49" spans="2:8" x14ac:dyDescent="0.3">
      <c r="B49" s="2">
        <v>1800</v>
      </c>
      <c r="C49" s="2">
        <v>12585</v>
      </c>
    </row>
    <row r="50" spans="2:8" x14ac:dyDescent="0.3">
      <c r="B50" s="2">
        <v>1850</v>
      </c>
      <c r="C50" s="2">
        <v>12885</v>
      </c>
      <c r="D50" t="s">
        <v>3</v>
      </c>
      <c r="H50">
        <v>12905</v>
      </c>
    </row>
    <row r="51" spans="2:8" x14ac:dyDescent="0.3">
      <c r="B51" s="2">
        <v>1900</v>
      </c>
      <c r="C51" s="2">
        <v>13195</v>
      </c>
    </row>
    <row r="52" spans="2:8" x14ac:dyDescent="0.3">
      <c r="B52" s="2">
        <v>1950</v>
      </c>
      <c r="C52" s="2">
        <v>13515</v>
      </c>
    </row>
    <row r="53" spans="2:8" x14ac:dyDescent="0.3">
      <c r="B53" s="2">
        <v>2000</v>
      </c>
      <c r="C53" s="2">
        <v>13825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F8B3-B6A1-45B9-BE02-E8C2B57409CC}">
  <dimension ref="B1:E77"/>
  <sheetViews>
    <sheetView workbookViewId="0">
      <selection activeCell="C4" sqref="C4"/>
    </sheetView>
  </sheetViews>
  <sheetFormatPr defaultRowHeight="14.4" x14ac:dyDescent="0.3"/>
  <cols>
    <col min="3" max="3" width="21.109375" customWidth="1"/>
  </cols>
  <sheetData>
    <row r="1" spans="2:4" x14ac:dyDescent="0.3">
      <c r="B1" s="5" t="s">
        <v>6</v>
      </c>
    </row>
    <row r="2" spans="2:4" x14ac:dyDescent="0.3">
      <c r="B2" s="1" t="s">
        <v>4</v>
      </c>
      <c r="C2" s="12">
        <v>46020.951388888891</v>
      </c>
    </row>
    <row r="3" spans="2:4" x14ac:dyDescent="0.3">
      <c r="B3" s="6" t="s">
        <v>1</v>
      </c>
      <c r="C3" s="6" t="s">
        <v>2</v>
      </c>
    </row>
    <row r="4" spans="2:4" x14ac:dyDescent="0.3">
      <c r="B4" s="2">
        <v>0</v>
      </c>
      <c r="C4" s="2">
        <v>311</v>
      </c>
      <c r="D4">
        <v>342</v>
      </c>
    </row>
    <row r="5" spans="2:4" x14ac:dyDescent="0.3">
      <c r="B5" s="2">
        <v>20</v>
      </c>
      <c r="C5" s="2">
        <v>471</v>
      </c>
      <c r="D5">
        <v>500</v>
      </c>
    </row>
    <row r="6" spans="2:4" x14ac:dyDescent="0.3">
      <c r="B6" s="2">
        <v>40</v>
      </c>
      <c r="C6" s="2">
        <v>600</v>
      </c>
      <c r="D6">
        <v>630</v>
      </c>
    </row>
    <row r="7" spans="2:4" x14ac:dyDescent="0.3">
      <c r="B7" s="2">
        <v>60</v>
      </c>
      <c r="C7" s="2">
        <v>753</v>
      </c>
      <c r="D7">
        <v>780</v>
      </c>
    </row>
    <row r="8" spans="2:4" x14ac:dyDescent="0.3">
      <c r="B8" s="2">
        <v>80</v>
      </c>
      <c r="C8" s="2">
        <v>910</v>
      </c>
      <c r="D8">
        <v>943</v>
      </c>
    </row>
    <row r="9" spans="2:4" x14ac:dyDescent="0.3">
      <c r="B9" s="2">
        <v>100</v>
      </c>
      <c r="C9" s="2">
        <v>1072</v>
      </c>
      <c r="D9">
        <v>1096</v>
      </c>
    </row>
    <row r="10" spans="2:4" x14ac:dyDescent="0.3">
      <c r="B10" s="2">
        <v>120</v>
      </c>
      <c r="C10" s="2">
        <v>1159</v>
      </c>
      <c r="D10">
        <v>1260</v>
      </c>
    </row>
    <row r="11" spans="2:4" x14ac:dyDescent="0.3">
      <c r="B11" s="2">
        <v>140</v>
      </c>
      <c r="C11" s="2">
        <v>1370</v>
      </c>
      <c r="D11">
        <v>1398</v>
      </c>
    </row>
    <row r="12" spans="2:4" x14ac:dyDescent="0.3">
      <c r="B12" s="2">
        <v>160</v>
      </c>
      <c r="C12" s="2">
        <v>1512</v>
      </c>
      <c r="D12">
        <v>1535</v>
      </c>
    </row>
    <row r="13" spans="2:4" x14ac:dyDescent="0.3">
      <c r="B13" s="2">
        <v>180</v>
      </c>
      <c r="C13" s="2">
        <v>1610</v>
      </c>
      <c r="D13">
        <v>1775</v>
      </c>
    </row>
    <row r="14" spans="2:4" x14ac:dyDescent="0.3">
      <c r="B14" s="2">
        <v>200</v>
      </c>
      <c r="C14" s="2">
        <v>1800</v>
      </c>
      <c r="D14">
        <v>1835</v>
      </c>
    </row>
    <row r="15" spans="2:4" x14ac:dyDescent="0.3">
      <c r="B15" s="2">
        <v>220</v>
      </c>
      <c r="C15" s="2">
        <v>1932</v>
      </c>
      <c r="D15">
        <v>1970</v>
      </c>
    </row>
    <row r="16" spans="2:4" x14ac:dyDescent="0.3">
      <c r="B16" s="2">
        <v>240</v>
      </c>
      <c r="C16" s="2">
        <v>2118</v>
      </c>
      <c r="D16">
        <v>2129</v>
      </c>
    </row>
    <row r="17" spans="2:4" x14ac:dyDescent="0.3">
      <c r="B17" s="2">
        <v>260</v>
      </c>
      <c r="C17" s="2">
        <v>2251</v>
      </c>
      <c r="D17">
        <v>2270</v>
      </c>
    </row>
    <row r="18" spans="2:4" x14ac:dyDescent="0.3">
      <c r="B18" s="2">
        <v>280</v>
      </c>
      <c r="C18" s="2">
        <v>2394</v>
      </c>
      <c r="D18">
        <v>2427</v>
      </c>
    </row>
    <row r="19" spans="2:4" x14ac:dyDescent="0.3">
      <c r="B19" s="2">
        <v>300</v>
      </c>
      <c r="C19" s="2">
        <v>2555</v>
      </c>
      <c r="D19">
        <v>2578</v>
      </c>
    </row>
    <row r="20" spans="2:4" x14ac:dyDescent="0.3">
      <c r="B20" s="2">
        <v>350</v>
      </c>
      <c r="C20" s="2">
        <v>2934</v>
      </c>
      <c r="D20">
        <v>2954</v>
      </c>
    </row>
    <row r="21" spans="2:4" x14ac:dyDescent="0.3">
      <c r="B21" s="2">
        <v>400</v>
      </c>
      <c r="C21" s="2">
        <v>3324</v>
      </c>
      <c r="D21">
        <v>3359</v>
      </c>
    </row>
    <row r="22" spans="2:4" x14ac:dyDescent="0.3">
      <c r="B22" s="2">
        <v>450</v>
      </c>
      <c r="C22" s="2">
        <v>3680</v>
      </c>
      <c r="D22">
        <v>3706</v>
      </c>
    </row>
    <row r="23" spans="2:4" x14ac:dyDescent="0.3">
      <c r="B23" s="2">
        <v>500</v>
      </c>
      <c r="C23" s="2">
        <v>4062</v>
      </c>
      <c r="D23">
        <v>4071</v>
      </c>
    </row>
    <row r="24" spans="2:4" x14ac:dyDescent="0.3">
      <c r="B24" s="2">
        <v>550</v>
      </c>
      <c r="C24" s="2">
        <v>4447</v>
      </c>
      <c r="D24">
        <v>4469</v>
      </c>
    </row>
    <row r="25" spans="2:4" x14ac:dyDescent="0.3">
      <c r="B25" s="2">
        <v>600</v>
      </c>
      <c r="C25" s="2">
        <v>4817</v>
      </c>
      <c r="D25">
        <v>4847</v>
      </c>
    </row>
    <row r="26" spans="2:4" x14ac:dyDescent="0.3">
      <c r="B26" s="2">
        <v>650</v>
      </c>
      <c r="C26" s="2">
        <v>5200</v>
      </c>
      <c r="D26">
        <v>5212</v>
      </c>
    </row>
    <row r="27" spans="2:4" x14ac:dyDescent="0.3">
      <c r="B27" s="2">
        <v>700</v>
      </c>
      <c r="C27" s="2">
        <v>5588</v>
      </c>
      <c r="D27">
        <v>5595</v>
      </c>
    </row>
    <row r="28" spans="2:4" x14ac:dyDescent="0.3">
      <c r="B28" s="2">
        <v>750</v>
      </c>
      <c r="C28" s="2">
        <v>5944</v>
      </c>
      <c r="D28">
        <v>5961</v>
      </c>
    </row>
    <row r="29" spans="2:4" x14ac:dyDescent="0.3">
      <c r="B29" s="2">
        <v>800</v>
      </c>
      <c r="C29" s="2">
        <v>6331</v>
      </c>
      <c r="D29">
        <v>6380</v>
      </c>
    </row>
    <row r="30" spans="2:4" x14ac:dyDescent="0.3">
      <c r="B30" s="2">
        <v>850</v>
      </c>
      <c r="C30" s="2">
        <v>6693</v>
      </c>
      <c r="D30">
        <v>6707</v>
      </c>
    </row>
    <row r="31" spans="2:4" x14ac:dyDescent="0.3">
      <c r="B31" s="2">
        <v>900</v>
      </c>
      <c r="C31" s="2">
        <v>7083</v>
      </c>
      <c r="D31">
        <v>7096</v>
      </c>
    </row>
    <row r="32" spans="2:4" x14ac:dyDescent="0.3">
      <c r="B32" s="2">
        <v>950</v>
      </c>
      <c r="C32" s="2">
        <v>7468</v>
      </c>
      <c r="D32">
        <v>7478</v>
      </c>
    </row>
    <row r="33" spans="2:4" x14ac:dyDescent="0.3">
      <c r="B33" s="2">
        <v>1000</v>
      </c>
      <c r="C33" s="2">
        <v>7837</v>
      </c>
      <c r="D33">
        <v>7862</v>
      </c>
    </row>
    <row r="34" spans="2:4" x14ac:dyDescent="0.3">
      <c r="B34" s="2">
        <v>1050</v>
      </c>
      <c r="C34" s="2">
        <v>8208</v>
      </c>
      <c r="D34">
        <v>8234</v>
      </c>
    </row>
    <row r="35" spans="2:4" x14ac:dyDescent="0.3">
      <c r="B35" s="2">
        <v>1100</v>
      </c>
      <c r="C35" s="2">
        <v>8609</v>
      </c>
      <c r="D35">
        <v>8612</v>
      </c>
    </row>
    <row r="36" spans="2:4" x14ac:dyDescent="0.3">
      <c r="B36" s="2">
        <v>1150</v>
      </c>
      <c r="C36" s="2">
        <v>8967</v>
      </c>
      <c r="D36">
        <v>8978</v>
      </c>
    </row>
    <row r="37" spans="2:4" x14ac:dyDescent="0.3">
      <c r="B37" s="2">
        <v>1200</v>
      </c>
      <c r="C37" s="2">
        <v>9337</v>
      </c>
      <c r="D37">
        <v>9364</v>
      </c>
    </row>
    <row r="38" spans="2:4" x14ac:dyDescent="0.3">
      <c r="B38" s="2">
        <v>1250</v>
      </c>
      <c r="C38" s="2">
        <v>9712</v>
      </c>
      <c r="D38">
        <v>9747</v>
      </c>
    </row>
    <row r="39" spans="2:4" x14ac:dyDescent="0.3">
      <c r="B39" s="2">
        <v>1300</v>
      </c>
      <c r="C39" s="2">
        <v>9800</v>
      </c>
      <c r="D39">
        <v>9835</v>
      </c>
    </row>
    <row r="40" spans="2:4" x14ac:dyDescent="0.3">
      <c r="B40" s="2">
        <v>1350</v>
      </c>
      <c r="C40" s="2">
        <v>9905</v>
      </c>
      <c r="D40">
        <v>9937</v>
      </c>
    </row>
    <row r="41" spans="2:4" x14ac:dyDescent="0.3">
      <c r="B41" s="2">
        <v>1400</v>
      </c>
      <c r="C41" s="2">
        <v>10078</v>
      </c>
      <c r="D41">
        <v>10111</v>
      </c>
    </row>
    <row r="42" spans="2:4" x14ac:dyDescent="0.3">
      <c r="B42" s="2">
        <v>1450</v>
      </c>
      <c r="C42" s="2">
        <v>10445</v>
      </c>
      <c r="D42">
        <v>10478</v>
      </c>
    </row>
    <row r="43" spans="2:4" x14ac:dyDescent="0.3">
      <c r="B43" s="2">
        <v>1500</v>
      </c>
      <c r="C43" s="2">
        <v>10831</v>
      </c>
      <c r="D43">
        <v>10870</v>
      </c>
    </row>
    <row r="44" spans="2:4" x14ac:dyDescent="0.3">
      <c r="B44" s="2">
        <v>1550</v>
      </c>
      <c r="C44" s="2">
        <v>11217</v>
      </c>
      <c r="D44">
        <v>11269</v>
      </c>
    </row>
    <row r="45" spans="2:4" x14ac:dyDescent="0.3">
      <c r="B45" s="2">
        <v>1600</v>
      </c>
      <c r="C45" s="2">
        <v>11602</v>
      </c>
      <c r="D45">
        <v>11629</v>
      </c>
    </row>
    <row r="46" spans="2:4" x14ac:dyDescent="0.3">
      <c r="B46" s="2">
        <v>1650</v>
      </c>
      <c r="C46" s="2">
        <v>11990</v>
      </c>
      <c r="D46">
        <v>12001</v>
      </c>
    </row>
    <row r="47" spans="2:4" x14ac:dyDescent="0.3">
      <c r="B47" s="2">
        <v>1700</v>
      </c>
      <c r="C47" s="2">
        <v>12355</v>
      </c>
      <c r="D47">
        <v>12384</v>
      </c>
    </row>
    <row r="48" spans="2:4" x14ac:dyDescent="0.3">
      <c r="B48" s="2">
        <v>1750</v>
      </c>
      <c r="C48" s="2">
        <v>12738</v>
      </c>
      <c r="D48">
        <v>12762</v>
      </c>
    </row>
    <row r="49" spans="2:4" x14ac:dyDescent="0.3">
      <c r="B49" s="2">
        <v>1800</v>
      </c>
      <c r="C49" s="2">
        <v>13114</v>
      </c>
      <c r="D49">
        <v>13150</v>
      </c>
    </row>
    <row r="50" spans="2:4" x14ac:dyDescent="0.3">
      <c r="B50" s="2">
        <v>1850</v>
      </c>
      <c r="C50" s="2">
        <v>13497</v>
      </c>
      <c r="D50">
        <v>13522</v>
      </c>
    </row>
    <row r="51" spans="2:4" x14ac:dyDescent="0.3">
      <c r="B51" s="2">
        <v>1900</v>
      </c>
      <c r="C51" s="2">
        <v>13794</v>
      </c>
      <c r="D51">
        <v>13825</v>
      </c>
    </row>
    <row r="52" spans="2:4" x14ac:dyDescent="0.3">
      <c r="B52" s="2">
        <v>1950</v>
      </c>
      <c r="C52" s="2">
        <v>14178</v>
      </c>
      <c r="D52">
        <v>14193</v>
      </c>
    </row>
    <row r="53" spans="2:4" x14ac:dyDescent="0.3">
      <c r="B53" s="2">
        <v>2000</v>
      </c>
      <c r="C53" s="2">
        <v>14546</v>
      </c>
      <c r="D53">
        <v>14854</v>
      </c>
    </row>
    <row r="54" spans="2:4" x14ac:dyDescent="0.3">
      <c r="B54" s="3">
        <v>2050</v>
      </c>
      <c r="C54" s="13">
        <v>14941</v>
      </c>
      <c r="D54">
        <v>14958</v>
      </c>
    </row>
    <row r="55" spans="2:4" x14ac:dyDescent="0.3">
      <c r="B55" s="3">
        <v>2100</v>
      </c>
      <c r="C55" s="13">
        <v>15316</v>
      </c>
      <c r="D55">
        <v>15350</v>
      </c>
    </row>
    <row r="56" spans="2:4" x14ac:dyDescent="0.3">
      <c r="B56" s="3">
        <v>2150</v>
      </c>
      <c r="C56" s="13">
        <v>15699</v>
      </c>
      <c r="D56">
        <v>15713</v>
      </c>
    </row>
    <row r="57" spans="2:4" x14ac:dyDescent="0.3">
      <c r="B57" s="3">
        <v>2200</v>
      </c>
      <c r="C57" s="13">
        <v>16071</v>
      </c>
      <c r="D57">
        <v>16094</v>
      </c>
    </row>
    <row r="58" spans="2:4" x14ac:dyDescent="0.3">
      <c r="B58" s="3">
        <v>2250</v>
      </c>
      <c r="C58" s="13">
        <v>16444</v>
      </c>
      <c r="D58">
        <v>16471</v>
      </c>
    </row>
    <row r="59" spans="2:4" x14ac:dyDescent="0.3">
      <c r="B59" s="3">
        <v>2300</v>
      </c>
      <c r="C59" s="13">
        <v>16801</v>
      </c>
      <c r="D59">
        <v>16850</v>
      </c>
    </row>
    <row r="60" spans="2:4" x14ac:dyDescent="0.3">
      <c r="B60" s="3">
        <v>2350</v>
      </c>
      <c r="C60" s="13">
        <v>17191</v>
      </c>
      <c r="D60">
        <v>17222</v>
      </c>
    </row>
    <row r="61" spans="2:4" x14ac:dyDescent="0.3">
      <c r="B61" s="3">
        <v>2400</v>
      </c>
      <c r="C61" s="13">
        <v>17578</v>
      </c>
      <c r="D61">
        <v>17581</v>
      </c>
    </row>
    <row r="62" spans="2:4" x14ac:dyDescent="0.3">
      <c r="B62" s="3">
        <v>2450</v>
      </c>
      <c r="C62" s="13">
        <v>17955</v>
      </c>
      <c r="D62">
        <v>17987</v>
      </c>
    </row>
    <row r="63" spans="2:4" x14ac:dyDescent="0.3">
      <c r="B63" s="3">
        <v>2500</v>
      </c>
      <c r="C63" s="13">
        <v>18341</v>
      </c>
      <c r="D63">
        <v>18363</v>
      </c>
    </row>
    <row r="64" spans="2:4" x14ac:dyDescent="0.3">
      <c r="B64" s="3">
        <v>2550</v>
      </c>
      <c r="C64" s="13">
        <v>18701</v>
      </c>
      <c r="D64">
        <v>18734</v>
      </c>
    </row>
    <row r="65" spans="2:5" x14ac:dyDescent="0.3">
      <c r="B65" s="3">
        <v>2600</v>
      </c>
      <c r="C65" s="13">
        <v>19083</v>
      </c>
      <c r="D65">
        <v>19111</v>
      </c>
    </row>
    <row r="66" spans="2:5" x14ac:dyDescent="0.3">
      <c r="B66" s="3">
        <v>2650</v>
      </c>
      <c r="C66" s="13">
        <v>19478</v>
      </c>
      <c r="D66">
        <v>19490</v>
      </c>
    </row>
    <row r="67" spans="2:5" x14ac:dyDescent="0.3">
      <c r="B67" s="3">
        <v>2700</v>
      </c>
      <c r="C67" s="13">
        <v>19847</v>
      </c>
      <c r="D67">
        <v>19866</v>
      </c>
    </row>
    <row r="68" spans="2:5" x14ac:dyDescent="0.3">
      <c r="B68" s="3">
        <v>2750</v>
      </c>
      <c r="C68" s="13">
        <v>20208</v>
      </c>
      <c r="D68">
        <v>20247</v>
      </c>
    </row>
    <row r="69" spans="2:5" x14ac:dyDescent="0.3">
      <c r="B69" s="3">
        <v>2800</v>
      </c>
      <c r="C69" s="13">
        <v>20599</v>
      </c>
      <c r="D69">
        <v>20619</v>
      </c>
    </row>
    <row r="70" spans="2:5" x14ac:dyDescent="0.3">
      <c r="B70" s="3">
        <v>2850</v>
      </c>
      <c r="C70" s="13">
        <v>20977</v>
      </c>
      <c r="D70">
        <v>20996</v>
      </c>
    </row>
    <row r="71" spans="2:5" x14ac:dyDescent="0.3">
      <c r="B71" s="3">
        <v>2900</v>
      </c>
      <c r="C71" s="13">
        <v>21356</v>
      </c>
      <c r="D71">
        <v>21371</v>
      </c>
    </row>
    <row r="72" spans="2:5" x14ac:dyDescent="0.3">
      <c r="B72" s="3">
        <v>2945</v>
      </c>
      <c r="C72" s="13">
        <v>21693</v>
      </c>
      <c r="D72">
        <v>21714</v>
      </c>
      <c r="E72" s="14" t="s">
        <v>14</v>
      </c>
    </row>
    <row r="73" spans="2:5" x14ac:dyDescent="0.3">
      <c r="B73" s="3">
        <v>3000</v>
      </c>
      <c r="C73" s="4"/>
    </row>
    <row r="75" spans="2:5" x14ac:dyDescent="0.3">
      <c r="B75" s="5" t="s">
        <v>5</v>
      </c>
    </row>
    <row r="77" spans="2:5" x14ac:dyDescent="0.3">
      <c r="B77" s="5" t="s">
        <v>7</v>
      </c>
      <c r="C77" s="12">
        <v>46021.576388888891</v>
      </c>
    </row>
  </sheetData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07F5-9106-4DD2-AF0F-F55B9A5F9754}">
  <dimension ref="B1:D16"/>
  <sheetViews>
    <sheetView workbookViewId="0">
      <selection activeCell="B1" sqref="B1:H16"/>
    </sheetView>
  </sheetViews>
  <sheetFormatPr defaultRowHeight="14.4" x14ac:dyDescent="0.3"/>
  <cols>
    <col min="3" max="3" width="14.44140625" customWidth="1"/>
  </cols>
  <sheetData>
    <row r="1" spans="2:4" x14ac:dyDescent="0.3">
      <c r="B1" s="5" t="s">
        <v>10</v>
      </c>
    </row>
    <row r="2" spans="2:4" x14ac:dyDescent="0.3">
      <c r="B2" s="5" t="s">
        <v>12</v>
      </c>
    </row>
    <row r="3" spans="2:4" x14ac:dyDescent="0.3">
      <c r="B3" s="7" t="s">
        <v>9</v>
      </c>
      <c r="C3" s="7" t="s">
        <v>8</v>
      </c>
      <c r="D3" s="5" t="s">
        <v>11</v>
      </c>
    </row>
    <row r="4" spans="2:4" x14ac:dyDescent="0.3">
      <c r="B4" s="7">
        <v>5</v>
      </c>
      <c r="C4" s="7">
        <v>22.5</v>
      </c>
    </row>
    <row r="5" spans="2:4" x14ac:dyDescent="0.3">
      <c r="B5" s="7">
        <v>10</v>
      </c>
      <c r="C5" s="7">
        <v>50</v>
      </c>
    </row>
    <row r="6" spans="2:4" x14ac:dyDescent="0.3">
      <c r="B6" s="7">
        <v>15</v>
      </c>
      <c r="C6" s="7">
        <v>80.5</v>
      </c>
    </row>
    <row r="7" spans="2:4" x14ac:dyDescent="0.3">
      <c r="B7" s="7">
        <v>20</v>
      </c>
      <c r="C7" s="7">
        <v>110</v>
      </c>
    </row>
    <row r="8" spans="2:4" x14ac:dyDescent="0.3">
      <c r="B8" s="7">
        <v>25</v>
      </c>
      <c r="C8" s="7">
        <v>131.5</v>
      </c>
    </row>
    <row r="9" spans="2:4" x14ac:dyDescent="0.3">
      <c r="B9" s="7">
        <v>30</v>
      </c>
      <c r="C9" s="7">
        <v>158</v>
      </c>
    </row>
    <row r="10" spans="2:4" x14ac:dyDescent="0.3">
      <c r="B10" s="7">
        <v>35</v>
      </c>
      <c r="C10" s="7">
        <v>181</v>
      </c>
    </row>
    <row r="11" spans="2:4" x14ac:dyDescent="0.3">
      <c r="B11" s="8"/>
      <c r="C11" s="9"/>
    </row>
    <row r="12" spans="2:4" x14ac:dyDescent="0.3">
      <c r="B12" s="11" t="s">
        <v>13</v>
      </c>
      <c r="C12" s="9"/>
    </row>
    <row r="14" spans="2:4" x14ac:dyDescent="0.3">
      <c r="B14" s="10"/>
    </row>
    <row r="16" spans="2:4" x14ac:dyDescent="0.3">
      <c r="D16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4835-86DF-465C-BA52-9CD6DD07D05C}">
  <dimension ref="B1:D16"/>
  <sheetViews>
    <sheetView topLeftCell="A2" workbookViewId="0">
      <selection activeCell="F13" sqref="F13"/>
    </sheetView>
  </sheetViews>
  <sheetFormatPr defaultRowHeight="14.4" x14ac:dyDescent="0.3"/>
  <cols>
    <col min="3" max="3" width="18" customWidth="1"/>
  </cols>
  <sheetData>
    <row r="1" spans="2:4" x14ac:dyDescent="0.3">
      <c r="B1" s="5" t="s">
        <v>15</v>
      </c>
    </row>
    <row r="2" spans="2:4" x14ac:dyDescent="0.3">
      <c r="B2" s="5" t="s">
        <v>4</v>
      </c>
      <c r="C2" s="12">
        <v>46021.711805555555</v>
      </c>
    </row>
    <row r="3" spans="2:4" x14ac:dyDescent="0.3">
      <c r="B3" s="7" t="s">
        <v>9</v>
      </c>
      <c r="C3" s="7" t="s">
        <v>8</v>
      </c>
      <c r="D3" s="5" t="s">
        <v>11</v>
      </c>
    </row>
    <row r="4" spans="2:4" x14ac:dyDescent="0.3">
      <c r="B4" s="7">
        <v>5</v>
      </c>
      <c r="C4" s="7">
        <v>1.994</v>
      </c>
    </row>
    <row r="5" spans="2:4" x14ac:dyDescent="0.3">
      <c r="B5" s="7">
        <v>10</v>
      </c>
      <c r="C5" s="7">
        <v>4.3150000000000004</v>
      </c>
    </row>
    <row r="6" spans="2:4" x14ac:dyDescent="0.3">
      <c r="B6" s="7">
        <v>15</v>
      </c>
      <c r="C6" s="7">
        <v>6.32</v>
      </c>
    </row>
    <row r="7" spans="2:4" x14ac:dyDescent="0.3">
      <c r="B7" s="7">
        <v>20</v>
      </c>
      <c r="C7" s="7">
        <v>8.5109999999999992</v>
      </c>
    </row>
    <row r="8" spans="2:4" x14ac:dyDescent="0.3">
      <c r="B8" s="7">
        <v>25</v>
      </c>
      <c r="C8" s="7">
        <v>10.711</v>
      </c>
    </row>
    <row r="9" spans="2:4" x14ac:dyDescent="0.3">
      <c r="B9" s="7">
        <v>30</v>
      </c>
      <c r="C9" s="7">
        <f>10.76+2.28</f>
        <v>13.04</v>
      </c>
    </row>
    <row r="10" spans="2:4" x14ac:dyDescent="0.3">
      <c r="B10" s="7">
        <v>35</v>
      </c>
      <c r="C10" s="7">
        <f>10.705+4.487</f>
        <v>15.192</v>
      </c>
    </row>
    <row r="11" spans="2:4" x14ac:dyDescent="0.3">
      <c r="B11" s="8"/>
      <c r="C11" s="9"/>
    </row>
    <row r="12" spans="2:4" x14ac:dyDescent="0.3">
      <c r="B12" s="11" t="s">
        <v>16</v>
      </c>
      <c r="C12" s="15">
        <v>46021.763888888891</v>
      </c>
    </row>
    <row r="14" spans="2:4" x14ac:dyDescent="0.3">
      <c r="B14" s="10"/>
    </row>
    <row r="16" spans="2:4" x14ac:dyDescent="0.3">
      <c r="D16" s="1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FAA0-3F80-47D1-A596-E82B7D5DF102}">
  <dimension ref="B1:D16"/>
  <sheetViews>
    <sheetView topLeftCell="A2" workbookViewId="0">
      <selection activeCell="F13" sqref="F13"/>
    </sheetView>
  </sheetViews>
  <sheetFormatPr defaultRowHeight="14.4" x14ac:dyDescent="0.3"/>
  <cols>
    <col min="3" max="3" width="18" customWidth="1"/>
  </cols>
  <sheetData>
    <row r="1" spans="2:4" x14ac:dyDescent="0.3">
      <c r="B1" s="5" t="s">
        <v>15</v>
      </c>
    </row>
    <row r="2" spans="2:4" x14ac:dyDescent="0.3">
      <c r="B2" s="5" t="s">
        <v>4</v>
      </c>
      <c r="C2" s="12">
        <v>46021.711805555555</v>
      </c>
    </row>
    <row r="3" spans="2:4" x14ac:dyDescent="0.3">
      <c r="B3" s="7" t="s">
        <v>9</v>
      </c>
      <c r="C3" s="7" t="s">
        <v>8</v>
      </c>
      <c r="D3" s="5" t="s">
        <v>11</v>
      </c>
    </row>
    <row r="4" spans="2:4" x14ac:dyDescent="0.3">
      <c r="B4" s="7">
        <v>5</v>
      </c>
      <c r="C4" s="7">
        <v>1.994</v>
      </c>
    </row>
    <row r="5" spans="2:4" x14ac:dyDescent="0.3">
      <c r="B5" s="7">
        <v>10</v>
      </c>
      <c r="C5" s="7">
        <v>4.3150000000000004</v>
      </c>
    </row>
    <row r="6" spans="2:4" x14ac:dyDescent="0.3">
      <c r="B6" s="7">
        <v>15</v>
      </c>
      <c r="C6" s="7">
        <v>6.32</v>
      </c>
    </row>
    <row r="7" spans="2:4" x14ac:dyDescent="0.3">
      <c r="B7" s="7">
        <v>20</v>
      </c>
      <c r="C7" s="7">
        <v>8.5109999999999992</v>
      </c>
    </row>
    <row r="8" spans="2:4" x14ac:dyDescent="0.3">
      <c r="B8" s="7">
        <v>25</v>
      </c>
      <c r="C8" s="7">
        <v>10.711</v>
      </c>
    </row>
    <row r="9" spans="2:4" x14ac:dyDescent="0.3">
      <c r="B9" s="7">
        <v>30</v>
      </c>
      <c r="C9" s="7">
        <f>10.76+2.28</f>
        <v>13.04</v>
      </c>
    </row>
    <row r="10" spans="2:4" x14ac:dyDescent="0.3">
      <c r="B10" s="7">
        <v>35</v>
      </c>
      <c r="C10" s="7">
        <f>10.705+4.487</f>
        <v>15.192</v>
      </c>
    </row>
    <row r="11" spans="2:4" x14ac:dyDescent="0.3">
      <c r="B11" s="8"/>
      <c r="C11" s="9"/>
    </row>
    <row r="12" spans="2:4" x14ac:dyDescent="0.3">
      <c r="B12" s="11" t="s">
        <v>16</v>
      </c>
      <c r="C12" s="15">
        <v>46021.763888888891</v>
      </c>
    </row>
    <row r="14" spans="2:4" x14ac:dyDescent="0.3">
      <c r="B14" s="10"/>
    </row>
    <row r="16" spans="2:4" x14ac:dyDescent="0.3">
      <c r="D16" s="1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88F5-8C2F-4A5D-9AB6-5CFE6C9BEE3C}">
  <dimension ref="B2:E16"/>
  <sheetViews>
    <sheetView workbookViewId="0">
      <selection activeCell="B15" sqref="B15"/>
    </sheetView>
  </sheetViews>
  <sheetFormatPr defaultRowHeight="14.4" x14ac:dyDescent="0.3"/>
  <cols>
    <col min="3" max="3" width="15.21875" customWidth="1"/>
    <col min="4" max="4" width="12.109375" customWidth="1"/>
    <col min="5" max="5" width="11.33203125" customWidth="1"/>
  </cols>
  <sheetData>
    <row r="2" spans="2:5" x14ac:dyDescent="0.3">
      <c r="B2" s="5" t="s">
        <v>10</v>
      </c>
    </row>
    <row r="3" spans="2:5" x14ac:dyDescent="0.3">
      <c r="B3" s="5"/>
    </row>
    <row r="4" spans="2:5" x14ac:dyDescent="0.3">
      <c r="B4" s="7" t="s">
        <v>9</v>
      </c>
      <c r="C4" s="6" t="s">
        <v>17</v>
      </c>
      <c r="D4" s="6" t="s">
        <v>7</v>
      </c>
      <c r="E4" s="5" t="s">
        <v>11</v>
      </c>
    </row>
    <row r="5" spans="2:5" x14ac:dyDescent="0.3">
      <c r="B5" s="7">
        <v>20</v>
      </c>
      <c r="C5" s="6" t="s">
        <v>19</v>
      </c>
      <c r="D5" s="6" t="s">
        <v>20</v>
      </c>
    </row>
    <row r="6" spans="2:5" x14ac:dyDescent="0.3">
      <c r="B6" s="7">
        <v>25</v>
      </c>
      <c r="C6" s="6" t="s">
        <v>18</v>
      </c>
      <c r="D6" s="6" t="s">
        <v>21</v>
      </c>
    </row>
    <row r="7" spans="2:5" x14ac:dyDescent="0.3">
      <c r="B7" s="7">
        <v>30</v>
      </c>
      <c r="C7" s="6" t="s">
        <v>21</v>
      </c>
      <c r="D7" s="6" t="s">
        <v>22</v>
      </c>
    </row>
    <row r="8" spans="2:5" x14ac:dyDescent="0.3">
      <c r="B8" s="7">
        <v>35</v>
      </c>
      <c r="C8" s="6" t="s">
        <v>22</v>
      </c>
      <c r="D8" s="16" t="s">
        <v>23</v>
      </c>
    </row>
    <row r="9" spans="2:5" x14ac:dyDescent="0.3">
      <c r="B9" s="7">
        <v>40</v>
      </c>
      <c r="C9" s="16" t="s">
        <v>23</v>
      </c>
      <c r="D9" s="16" t="s">
        <v>24</v>
      </c>
    </row>
    <row r="10" spans="2:5" x14ac:dyDescent="0.3">
      <c r="B10" s="7">
        <v>45</v>
      </c>
      <c r="C10" s="16" t="s">
        <v>24</v>
      </c>
      <c r="D10" s="16" t="s">
        <v>25</v>
      </c>
    </row>
    <row r="11" spans="2:5" x14ac:dyDescent="0.3">
      <c r="B11" s="7">
        <v>50</v>
      </c>
      <c r="C11" s="16" t="s">
        <v>25</v>
      </c>
      <c r="D11" s="16" t="s">
        <v>26</v>
      </c>
      <c r="E11" s="5" t="s">
        <v>27</v>
      </c>
    </row>
    <row r="12" spans="2:5" x14ac:dyDescent="0.3">
      <c r="B12" s="7">
        <v>48</v>
      </c>
      <c r="C12" s="7" t="s">
        <v>26</v>
      </c>
      <c r="D12" s="7" t="s">
        <v>28</v>
      </c>
      <c r="E12" s="5" t="s">
        <v>29</v>
      </c>
    </row>
    <row r="14" spans="2:5" x14ac:dyDescent="0.3">
      <c r="B14" s="10"/>
    </row>
    <row r="16" spans="2:5" x14ac:dyDescent="0.3">
      <c r="D16" s="1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1170-0F37-4F85-9B06-92252D85EE17}">
  <dimension ref="B2:I15"/>
  <sheetViews>
    <sheetView workbookViewId="0">
      <selection activeCell="I15" sqref="I15"/>
    </sheetView>
  </sheetViews>
  <sheetFormatPr defaultRowHeight="14.4" x14ac:dyDescent="0.3"/>
  <cols>
    <col min="2" max="2" width="22.44140625" customWidth="1"/>
    <col min="3" max="3" width="18.33203125" customWidth="1"/>
    <col min="4" max="4" width="12" customWidth="1"/>
    <col min="5" max="5" width="13.44140625" customWidth="1"/>
    <col min="6" max="6" width="21.5546875" customWidth="1"/>
    <col min="7" max="8" width="14.88671875" customWidth="1"/>
    <col min="9" max="9" width="11" customWidth="1"/>
  </cols>
  <sheetData>
    <row r="2" spans="2:9" ht="24" customHeight="1" x14ac:dyDescent="0.3">
      <c r="B2" s="20" t="s">
        <v>30</v>
      </c>
      <c r="C2" s="4"/>
      <c r="D2" s="4"/>
      <c r="E2" s="4"/>
      <c r="F2" s="21" t="s">
        <v>42</v>
      </c>
      <c r="G2" s="4"/>
      <c r="H2" s="4"/>
      <c r="I2" s="4"/>
    </row>
    <row r="3" spans="2:9" x14ac:dyDescent="0.3">
      <c r="B3" s="20"/>
      <c r="C3" s="18">
        <v>88</v>
      </c>
      <c r="D3" s="18">
        <v>88</v>
      </c>
      <c r="E3" s="18">
        <v>10</v>
      </c>
      <c r="F3" s="21"/>
      <c r="G3" s="18">
        <v>100</v>
      </c>
      <c r="H3" s="18">
        <v>100</v>
      </c>
      <c r="I3" s="18">
        <v>10</v>
      </c>
    </row>
    <row r="4" spans="2:9" x14ac:dyDescent="0.3">
      <c r="B4" s="20" t="s">
        <v>31</v>
      </c>
      <c r="C4" s="13">
        <v>2000</v>
      </c>
      <c r="D4" s="7" t="s">
        <v>44</v>
      </c>
      <c r="E4" s="7"/>
      <c r="F4" s="21" t="s">
        <v>31</v>
      </c>
      <c r="G4" s="13">
        <v>30</v>
      </c>
      <c r="H4" s="7" t="s">
        <v>44</v>
      </c>
      <c r="I4" s="4"/>
    </row>
    <row r="5" spans="2:9" x14ac:dyDescent="0.3">
      <c r="B5" s="20" t="s">
        <v>32</v>
      </c>
      <c r="C5" s="13">
        <v>447</v>
      </c>
      <c r="D5" s="19">
        <f>C5/2000</f>
        <v>0.2235</v>
      </c>
      <c r="E5" s="22">
        <f>1000*D5/8800</f>
        <v>2.5397727272727273E-2</v>
      </c>
      <c r="F5" s="21" t="s">
        <v>32</v>
      </c>
      <c r="G5" s="13">
        <v>7.62</v>
      </c>
      <c r="H5" s="19">
        <f t="shared" ref="H5:H14" si="0">G5/30</f>
        <v>0.254</v>
      </c>
      <c r="I5" s="22">
        <f>1000*H5/10000</f>
        <v>2.5399999999999999E-2</v>
      </c>
    </row>
    <row r="6" spans="2:9" x14ac:dyDescent="0.3">
      <c r="B6" s="20" t="s">
        <v>33</v>
      </c>
      <c r="C6" s="13">
        <v>2208.6</v>
      </c>
      <c r="D6" s="19">
        <f t="shared" ref="D6:D14" si="1">C6/2000</f>
        <v>1.1043000000000001</v>
      </c>
      <c r="E6" s="22">
        <f t="shared" ref="E6:E14" si="2">1000*D6/8800</f>
        <v>0.12548863636363636</v>
      </c>
      <c r="F6" s="21" t="s">
        <v>33</v>
      </c>
      <c r="G6" s="13">
        <v>27.89</v>
      </c>
      <c r="H6" s="19">
        <f t="shared" si="0"/>
        <v>0.92966666666666664</v>
      </c>
      <c r="I6" s="22">
        <f>1000*H6/10000</f>
        <v>9.296666666666667E-2</v>
      </c>
    </row>
    <row r="7" spans="2:9" x14ac:dyDescent="0.3">
      <c r="B7" s="20" t="s">
        <v>34</v>
      </c>
      <c r="C7" s="13">
        <v>141.4</v>
      </c>
      <c r="D7" s="19">
        <f t="shared" si="1"/>
        <v>7.0699999999999999E-2</v>
      </c>
      <c r="E7" s="22">
        <f t="shared" si="2"/>
        <v>8.0340909090909091E-3</v>
      </c>
      <c r="F7" s="21" t="s">
        <v>34</v>
      </c>
      <c r="G7" s="13">
        <v>2.41</v>
      </c>
      <c r="H7" s="19">
        <f t="shared" si="0"/>
        <v>8.033333333333334E-2</v>
      </c>
      <c r="I7" s="22">
        <f t="shared" ref="I7:I13" si="3">1000*H7/10000</f>
        <v>8.033333333333335E-3</v>
      </c>
    </row>
    <row r="8" spans="2:9" x14ac:dyDescent="0.3">
      <c r="B8" s="20" t="s">
        <v>35</v>
      </c>
      <c r="C8" s="13">
        <v>18.7</v>
      </c>
      <c r="D8" s="19">
        <f t="shared" si="1"/>
        <v>9.3499999999999989E-3</v>
      </c>
      <c r="E8" s="22">
        <f>1000*D8/8800</f>
        <v>1.0624999999999999E-3</v>
      </c>
      <c r="F8" s="21" t="s">
        <v>35</v>
      </c>
      <c r="G8" s="13">
        <v>0.32</v>
      </c>
      <c r="H8" s="19">
        <f t="shared" si="0"/>
        <v>1.0666666666666666E-2</v>
      </c>
      <c r="I8" s="22">
        <f t="shared" si="3"/>
        <v>1.0666666666666665E-3</v>
      </c>
    </row>
    <row r="9" spans="2:9" x14ac:dyDescent="0.3">
      <c r="B9" s="20" t="s">
        <v>36</v>
      </c>
      <c r="C9" s="13">
        <v>78.2</v>
      </c>
      <c r="D9" s="19">
        <f t="shared" si="1"/>
        <v>3.9100000000000003E-2</v>
      </c>
      <c r="E9" s="22">
        <f t="shared" si="2"/>
        <v>4.4431818181818183E-3</v>
      </c>
      <c r="F9" s="21" t="s">
        <v>36</v>
      </c>
      <c r="G9" s="13">
        <v>2.66</v>
      </c>
      <c r="H9" s="19">
        <f t="shared" si="0"/>
        <v>8.8666666666666671E-2</v>
      </c>
      <c r="I9" s="22">
        <f t="shared" si="3"/>
        <v>8.8666666666666668E-3</v>
      </c>
    </row>
    <row r="10" spans="2:9" x14ac:dyDescent="0.3">
      <c r="B10" s="20" t="s">
        <v>37</v>
      </c>
      <c r="C10" s="13">
        <v>50140</v>
      </c>
      <c r="D10" s="19">
        <f t="shared" si="1"/>
        <v>25.07</v>
      </c>
      <c r="E10" s="22">
        <f t="shared" si="2"/>
        <v>2.8488636363636362</v>
      </c>
      <c r="F10" s="21" t="s">
        <v>37</v>
      </c>
      <c r="G10" s="13">
        <v>854.6</v>
      </c>
      <c r="H10" s="19">
        <f t="shared" si="0"/>
        <v>28.486666666666668</v>
      </c>
      <c r="I10" s="22">
        <f t="shared" si="3"/>
        <v>2.8486666666666669</v>
      </c>
    </row>
    <row r="11" spans="2:9" x14ac:dyDescent="0.3">
      <c r="B11" s="20" t="s">
        <v>38</v>
      </c>
      <c r="C11" s="13">
        <v>23927.3</v>
      </c>
      <c r="D11" s="19">
        <f t="shared" si="1"/>
        <v>11.963649999999999</v>
      </c>
      <c r="E11" s="22">
        <f t="shared" si="2"/>
        <v>1.3595056818181819</v>
      </c>
      <c r="F11" s="21" t="s">
        <v>43</v>
      </c>
      <c r="G11" s="13">
        <v>429.3</v>
      </c>
      <c r="H11" s="19">
        <f t="shared" si="0"/>
        <v>14.31</v>
      </c>
      <c r="I11" s="22">
        <f t="shared" si="3"/>
        <v>1.431</v>
      </c>
    </row>
    <row r="12" spans="2:9" x14ac:dyDescent="0.3">
      <c r="B12" s="20" t="s">
        <v>39</v>
      </c>
      <c r="C12" s="13">
        <v>1882.1</v>
      </c>
      <c r="D12" s="19">
        <f t="shared" si="1"/>
        <v>0.94104999999999994</v>
      </c>
      <c r="E12" s="22">
        <f t="shared" si="2"/>
        <v>0.10693749999999999</v>
      </c>
      <c r="F12" s="21" t="s">
        <v>39</v>
      </c>
      <c r="G12" s="13">
        <v>32.08</v>
      </c>
      <c r="H12" s="19">
        <f t="shared" si="0"/>
        <v>1.0693333333333332</v>
      </c>
      <c r="I12" s="22">
        <f t="shared" si="3"/>
        <v>0.10693333333333332</v>
      </c>
    </row>
    <row r="13" spans="2:9" x14ac:dyDescent="0.3">
      <c r="B13" s="20" t="s">
        <v>40</v>
      </c>
      <c r="C13" s="13">
        <v>8101.2</v>
      </c>
      <c r="D13" s="19">
        <f>C13/2000</f>
        <v>4.0506000000000002</v>
      </c>
      <c r="E13" s="22">
        <f t="shared" si="2"/>
        <v>0.46029545454545456</v>
      </c>
      <c r="F13" s="21" t="s">
        <v>40</v>
      </c>
      <c r="G13" s="13">
        <v>120</v>
      </c>
      <c r="H13" s="19">
        <f t="shared" si="0"/>
        <v>4</v>
      </c>
      <c r="I13" s="22">
        <f t="shared" si="3"/>
        <v>0.4</v>
      </c>
    </row>
    <row r="14" spans="2:9" x14ac:dyDescent="0.3">
      <c r="B14" s="20" t="s">
        <v>41</v>
      </c>
      <c r="C14" s="13">
        <v>4717.1000000000004</v>
      </c>
      <c r="D14" s="19">
        <f t="shared" si="1"/>
        <v>2.3585500000000001</v>
      </c>
      <c r="E14" s="22">
        <f t="shared" si="2"/>
        <v>0.26801704545454547</v>
      </c>
      <c r="F14" s="21" t="s">
        <v>41</v>
      </c>
      <c r="G14" s="13">
        <v>98.2</v>
      </c>
      <c r="H14" s="19">
        <f t="shared" si="0"/>
        <v>3.2733333333333334</v>
      </c>
      <c r="I14" s="22">
        <f>1000*H14/10000</f>
        <v>0.32733333333333337</v>
      </c>
    </row>
    <row r="15" spans="2:9" x14ac:dyDescent="0.3">
      <c r="D15" s="1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6F9C-AA88-4C4F-9FB7-23C38D6C2321}">
  <dimension ref="B2:E21"/>
  <sheetViews>
    <sheetView workbookViewId="0">
      <selection activeCell="Q22" sqref="Q22"/>
    </sheetView>
  </sheetViews>
  <sheetFormatPr defaultRowHeight="14.4" x14ac:dyDescent="0.3"/>
  <cols>
    <col min="3" max="3" width="23" customWidth="1"/>
    <col min="5" max="5" width="15.21875" customWidth="1"/>
  </cols>
  <sheetData>
    <row r="2" spans="2:5" x14ac:dyDescent="0.3">
      <c r="B2" s="5" t="s">
        <v>17</v>
      </c>
      <c r="C2" s="12">
        <v>46093.498611111114</v>
      </c>
    </row>
    <row r="3" spans="2:5" x14ac:dyDescent="0.3">
      <c r="B3" s="2" t="s">
        <v>1</v>
      </c>
      <c r="C3" s="6" t="s">
        <v>2</v>
      </c>
      <c r="E3" s="17"/>
    </row>
    <row r="4" spans="2:5" x14ac:dyDescent="0.3">
      <c r="B4" s="2">
        <v>0</v>
      </c>
      <c r="C4" s="7">
        <v>390</v>
      </c>
      <c r="E4" s="23"/>
    </row>
    <row r="5" spans="2:5" x14ac:dyDescent="0.3">
      <c r="B5" s="2">
        <v>20</v>
      </c>
      <c r="C5" s="7">
        <v>393</v>
      </c>
      <c r="E5" s="23"/>
    </row>
    <row r="6" spans="2:5" x14ac:dyDescent="0.3">
      <c r="B6" s="2">
        <v>40</v>
      </c>
      <c r="C6" s="7">
        <v>817</v>
      </c>
      <c r="E6" s="23"/>
    </row>
    <row r="7" spans="2:5" x14ac:dyDescent="0.3">
      <c r="B7" s="2">
        <v>60</v>
      </c>
      <c r="C7" s="7">
        <v>1076</v>
      </c>
      <c r="E7" s="23"/>
    </row>
    <row r="8" spans="2:5" x14ac:dyDescent="0.3">
      <c r="B8" s="2">
        <v>80</v>
      </c>
      <c r="C8" s="7">
        <v>1374</v>
      </c>
      <c r="E8" s="23"/>
    </row>
    <row r="9" spans="2:5" x14ac:dyDescent="0.3">
      <c r="B9" s="2">
        <v>100</v>
      </c>
      <c r="C9" s="7">
        <v>1589</v>
      </c>
      <c r="E9" s="23"/>
    </row>
    <row r="10" spans="2:5" x14ac:dyDescent="0.3">
      <c r="B10" s="2">
        <v>120</v>
      </c>
      <c r="C10" s="7">
        <v>1766</v>
      </c>
      <c r="E10" s="23"/>
    </row>
    <row r="11" spans="2:5" x14ac:dyDescent="0.3">
      <c r="B11" s="2">
        <v>140</v>
      </c>
      <c r="C11" s="7">
        <v>1978</v>
      </c>
      <c r="E11" s="23"/>
    </row>
    <row r="12" spans="2:5" x14ac:dyDescent="0.3">
      <c r="B12" s="2">
        <v>160</v>
      </c>
      <c r="C12" s="7">
        <v>2101</v>
      </c>
      <c r="E12" s="23"/>
    </row>
    <row r="13" spans="2:5" x14ac:dyDescent="0.3">
      <c r="B13" s="2">
        <v>180</v>
      </c>
      <c r="C13" s="7">
        <v>2278</v>
      </c>
      <c r="E13" s="23"/>
    </row>
    <row r="14" spans="2:5" x14ac:dyDescent="0.3">
      <c r="B14" s="2">
        <v>200</v>
      </c>
      <c r="C14" s="7">
        <v>2370</v>
      </c>
      <c r="E14" s="23"/>
    </row>
    <row r="15" spans="2:5" x14ac:dyDescent="0.3">
      <c r="B15" s="2">
        <v>220</v>
      </c>
      <c r="C15" s="7">
        <v>2521</v>
      </c>
      <c r="E15" s="23"/>
    </row>
    <row r="16" spans="2:5" x14ac:dyDescent="0.3">
      <c r="B16" s="2">
        <v>240</v>
      </c>
      <c r="C16" s="7">
        <v>2691</v>
      </c>
      <c r="E16" s="23"/>
    </row>
    <row r="17" spans="2:5" x14ac:dyDescent="0.3">
      <c r="B17" s="2">
        <v>260</v>
      </c>
      <c r="C17" s="7">
        <v>2816</v>
      </c>
      <c r="E17" s="23"/>
    </row>
    <row r="18" spans="2:5" x14ac:dyDescent="0.3">
      <c r="B18" s="2">
        <v>280</v>
      </c>
      <c r="C18" s="7">
        <v>2951</v>
      </c>
      <c r="E18" s="23"/>
    </row>
    <row r="19" spans="2:5" x14ac:dyDescent="0.3">
      <c r="B19" s="2">
        <v>300</v>
      </c>
      <c r="C19" s="7">
        <v>3073</v>
      </c>
      <c r="E19" s="23"/>
    </row>
    <row r="20" spans="2:5" x14ac:dyDescent="0.3">
      <c r="C20" s="5"/>
      <c r="E20" s="24"/>
    </row>
    <row r="21" spans="2:5" x14ac:dyDescent="0.3">
      <c r="B21" s="5" t="s">
        <v>16</v>
      </c>
      <c r="C21" s="12">
        <v>46093.51666666667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02E2-2814-4B58-AB8A-1F7A7C12DC46}">
  <dimension ref="B2:C24"/>
  <sheetViews>
    <sheetView workbookViewId="0">
      <selection activeCell="C8" sqref="C8"/>
    </sheetView>
  </sheetViews>
  <sheetFormatPr defaultRowHeight="14.4" x14ac:dyDescent="0.3"/>
  <cols>
    <col min="3" max="3" width="37.109375" customWidth="1"/>
  </cols>
  <sheetData>
    <row r="2" spans="2:3" x14ac:dyDescent="0.3">
      <c r="B2" s="5" t="s">
        <v>45</v>
      </c>
    </row>
    <row r="3" spans="2:3" x14ac:dyDescent="0.3">
      <c r="B3" s="7" t="s">
        <v>4</v>
      </c>
      <c r="C3" s="25">
        <v>46105.451388888891</v>
      </c>
    </row>
    <row r="4" spans="2:3" x14ac:dyDescent="0.3">
      <c r="B4" s="7" t="s">
        <v>1</v>
      </c>
      <c r="C4" s="7" t="s">
        <v>2</v>
      </c>
    </row>
    <row r="5" spans="2:3" x14ac:dyDescent="0.3">
      <c r="B5" s="7">
        <v>0</v>
      </c>
      <c r="C5" s="7">
        <v>-1216</v>
      </c>
    </row>
    <row r="6" spans="2:3" x14ac:dyDescent="0.3">
      <c r="B6" s="7">
        <v>5</v>
      </c>
      <c r="C6" s="7">
        <v>-920</v>
      </c>
    </row>
    <row r="7" spans="2:3" x14ac:dyDescent="0.3">
      <c r="B7" s="7">
        <v>10</v>
      </c>
      <c r="C7" s="7">
        <v>-4</v>
      </c>
    </row>
    <row r="8" spans="2:3" x14ac:dyDescent="0.3">
      <c r="B8" s="7">
        <v>15</v>
      </c>
      <c r="C8" s="7">
        <v>861</v>
      </c>
    </row>
    <row r="9" spans="2:3" x14ac:dyDescent="0.3">
      <c r="B9" s="7">
        <v>20</v>
      </c>
      <c r="C9" s="7">
        <v>1687</v>
      </c>
    </row>
    <row r="10" spans="2:3" x14ac:dyDescent="0.3">
      <c r="B10" s="7">
        <v>25</v>
      </c>
      <c r="C10" s="7">
        <v>2453</v>
      </c>
    </row>
    <row r="11" spans="2:3" x14ac:dyDescent="0.3">
      <c r="B11" s="7">
        <v>30</v>
      </c>
      <c r="C11" s="7">
        <v>3043</v>
      </c>
    </row>
    <row r="12" spans="2:3" x14ac:dyDescent="0.3">
      <c r="B12" s="7">
        <v>35</v>
      </c>
      <c r="C12" s="7">
        <v>3643</v>
      </c>
    </row>
    <row r="13" spans="2:3" x14ac:dyDescent="0.3">
      <c r="B13" s="7">
        <v>40</v>
      </c>
      <c r="C13" s="7">
        <v>3855</v>
      </c>
    </row>
    <row r="14" spans="2:3" x14ac:dyDescent="0.3">
      <c r="B14" s="7">
        <v>45</v>
      </c>
      <c r="C14" s="7">
        <v>4314</v>
      </c>
    </row>
    <row r="15" spans="2:3" x14ac:dyDescent="0.3">
      <c r="B15" s="7">
        <v>50</v>
      </c>
      <c r="C15" s="7">
        <v>4811</v>
      </c>
    </row>
    <row r="16" spans="2:3" x14ac:dyDescent="0.3">
      <c r="B16" s="7">
        <v>55</v>
      </c>
      <c r="C16" s="7">
        <v>5141</v>
      </c>
    </row>
    <row r="17" spans="2:3" x14ac:dyDescent="0.3">
      <c r="B17" s="7">
        <v>60</v>
      </c>
      <c r="C17" s="7">
        <v>5491</v>
      </c>
    </row>
    <row r="18" spans="2:3" x14ac:dyDescent="0.3">
      <c r="B18" s="7">
        <v>65</v>
      </c>
      <c r="C18" s="7">
        <v>5206</v>
      </c>
    </row>
    <row r="19" spans="2:3" x14ac:dyDescent="0.3">
      <c r="B19" s="7">
        <v>70</v>
      </c>
      <c r="C19" s="7">
        <v>4913</v>
      </c>
    </row>
    <row r="20" spans="2:3" x14ac:dyDescent="0.3">
      <c r="B20" s="7">
        <v>75</v>
      </c>
      <c r="C20" s="7">
        <v>4773</v>
      </c>
    </row>
    <row r="21" spans="2:3" x14ac:dyDescent="0.3">
      <c r="B21" s="7">
        <v>80</v>
      </c>
      <c r="C21" s="7">
        <v>5074</v>
      </c>
    </row>
    <row r="22" spans="2:3" x14ac:dyDescent="0.3">
      <c r="B22" s="7">
        <v>85</v>
      </c>
      <c r="C22" s="7">
        <v>5179</v>
      </c>
    </row>
    <row r="23" spans="2:3" x14ac:dyDescent="0.3">
      <c r="B23" s="7">
        <v>90</v>
      </c>
      <c r="C23" s="7">
        <v>5392</v>
      </c>
    </row>
    <row r="24" spans="2:3" x14ac:dyDescent="0.3">
      <c r="B24" s="7"/>
      <c r="C24" s="7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B6B9-A82E-4B99-86AA-8497AB4EB88B}">
  <dimension ref="B2:C24"/>
  <sheetViews>
    <sheetView workbookViewId="0">
      <selection activeCell="B2" sqref="B2:C24"/>
    </sheetView>
  </sheetViews>
  <sheetFormatPr defaultRowHeight="14.4" x14ac:dyDescent="0.3"/>
  <cols>
    <col min="3" max="3" width="37.109375" customWidth="1"/>
  </cols>
  <sheetData>
    <row r="2" spans="2:3" x14ac:dyDescent="0.3">
      <c r="B2" s="5" t="s">
        <v>45</v>
      </c>
    </row>
    <row r="3" spans="2:3" x14ac:dyDescent="0.3">
      <c r="B3" s="7" t="s">
        <v>4</v>
      </c>
      <c r="C3" s="25">
        <v>46105.600694444445</v>
      </c>
    </row>
    <row r="4" spans="2:3" x14ac:dyDescent="0.3">
      <c r="B4" s="7" t="s">
        <v>1</v>
      </c>
      <c r="C4" s="7" t="s">
        <v>2</v>
      </c>
    </row>
    <row r="5" spans="2:3" x14ac:dyDescent="0.3">
      <c r="B5" s="7">
        <v>0</v>
      </c>
      <c r="C5" s="7">
        <v>-785</v>
      </c>
    </row>
    <row r="6" spans="2:3" x14ac:dyDescent="0.3">
      <c r="B6" s="7">
        <v>5</v>
      </c>
      <c r="C6" s="7">
        <v>-637</v>
      </c>
    </row>
    <row r="7" spans="2:3" x14ac:dyDescent="0.3">
      <c r="B7" s="7">
        <v>10</v>
      </c>
      <c r="C7" s="7">
        <v>239</v>
      </c>
    </row>
    <row r="8" spans="2:3" x14ac:dyDescent="0.3">
      <c r="B8" s="7">
        <v>15</v>
      </c>
      <c r="C8" s="7">
        <v>1045</v>
      </c>
    </row>
    <row r="9" spans="2:3" x14ac:dyDescent="0.3">
      <c r="B9" s="7">
        <v>20</v>
      </c>
      <c r="C9" s="7">
        <v>1903</v>
      </c>
    </row>
    <row r="10" spans="2:3" x14ac:dyDescent="0.3">
      <c r="B10" s="7">
        <v>25</v>
      </c>
      <c r="C10" s="7">
        <v>2763</v>
      </c>
    </row>
    <row r="11" spans="2:3" x14ac:dyDescent="0.3">
      <c r="B11" s="7">
        <v>30</v>
      </c>
      <c r="C11" s="7">
        <v>3613</v>
      </c>
    </row>
    <row r="12" spans="2:3" x14ac:dyDescent="0.3">
      <c r="B12" s="7">
        <v>35</v>
      </c>
      <c r="C12" s="7">
        <v>4417</v>
      </c>
    </row>
    <row r="13" spans="2:3" x14ac:dyDescent="0.3">
      <c r="B13" s="7">
        <v>40</v>
      </c>
      <c r="C13" s="7">
        <v>5308</v>
      </c>
    </row>
    <row r="14" spans="2:3" x14ac:dyDescent="0.3">
      <c r="B14" s="7">
        <v>45</v>
      </c>
      <c r="C14" s="7">
        <v>6145</v>
      </c>
    </row>
    <row r="15" spans="2:3" x14ac:dyDescent="0.3">
      <c r="B15" s="7">
        <v>50</v>
      </c>
      <c r="C15" s="7">
        <v>7032</v>
      </c>
    </row>
    <row r="16" spans="2:3" x14ac:dyDescent="0.3">
      <c r="B16" s="7">
        <v>55</v>
      </c>
      <c r="C16" s="7">
        <v>7838</v>
      </c>
    </row>
    <row r="17" spans="2:3" x14ac:dyDescent="0.3">
      <c r="B17" s="7">
        <v>60</v>
      </c>
      <c r="C17" s="7">
        <v>8711</v>
      </c>
    </row>
    <row r="18" spans="2:3" x14ac:dyDescent="0.3">
      <c r="B18" s="7">
        <v>65</v>
      </c>
      <c r="C18" s="7">
        <v>9609</v>
      </c>
    </row>
    <row r="19" spans="2:3" x14ac:dyDescent="0.3">
      <c r="B19" s="7">
        <v>70</v>
      </c>
      <c r="C19" s="7">
        <v>10420</v>
      </c>
    </row>
    <row r="20" spans="2:3" x14ac:dyDescent="0.3">
      <c r="B20" s="7">
        <v>75</v>
      </c>
      <c r="C20" s="7">
        <v>11233</v>
      </c>
    </row>
    <row r="21" spans="2:3" x14ac:dyDescent="0.3">
      <c r="B21" s="7">
        <v>80</v>
      </c>
      <c r="C21" s="7">
        <v>12044</v>
      </c>
    </row>
    <row r="22" spans="2:3" x14ac:dyDescent="0.3">
      <c r="B22" s="7">
        <v>85</v>
      </c>
      <c r="C22" s="7">
        <v>12882</v>
      </c>
    </row>
    <row r="23" spans="2:3" x14ac:dyDescent="0.3">
      <c r="B23" s="7">
        <v>90</v>
      </c>
      <c r="C23" s="7">
        <v>13707</v>
      </c>
    </row>
    <row r="24" spans="2:3" x14ac:dyDescent="0.3">
      <c r="B24" s="7">
        <v>95</v>
      </c>
      <c r="C24" s="7">
        <v>14453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3F6D-36C2-4FD9-9713-4662D1CF777F}">
  <dimension ref="B2:D27"/>
  <sheetViews>
    <sheetView workbookViewId="0">
      <selection activeCell="B2" sqref="B2:C27"/>
    </sheetView>
  </sheetViews>
  <sheetFormatPr defaultRowHeight="14.4" x14ac:dyDescent="0.3"/>
  <cols>
    <col min="2" max="2" width="14.44140625" customWidth="1"/>
    <col min="3" max="3" width="24.77734375" customWidth="1"/>
  </cols>
  <sheetData>
    <row r="2" spans="2:4" x14ac:dyDescent="0.3">
      <c r="B2" s="5" t="s">
        <v>46</v>
      </c>
    </row>
    <row r="3" spans="2:4" x14ac:dyDescent="0.3">
      <c r="B3" s="7" t="s">
        <v>4</v>
      </c>
      <c r="C3" s="25"/>
    </row>
    <row r="4" spans="2:4" x14ac:dyDescent="0.3">
      <c r="B4" s="7" t="s">
        <v>1</v>
      </c>
      <c r="C4" s="7" t="s">
        <v>2</v>
      </c>
    </row>
    <row r="5" spans="2:4" x14ac:dyDescent="0.3">
      <c r="B5" s="7">
        <v>0</v>
      </c>
      <c r="C5" s="7">
        <v>-487</v>
      </c>
    </row>
    <row r="6" spans="2:4" x14ac:dyDescent="0.3">
      <c r="B6" s="7">
        <v>2</v>
      </c>
      <c r="C6" s="7">
        <v>1127</v>
      </c>
    </row>
    <row r="7" spans="2:4" x14ac:dyDescent="0.3">
      <c r="B7" s="7">
        <v>4</v>
      </c>
      <c r="C7" s="7">
        <v>2427</v>
      </c>
    </row>
    <row r="8" spans="2:4" x14ac:dyDescent="0.3">
      <c r="B8" s="7">
        <v>6</v>
      </c>
      <c r="C8" s="7">
        <v>3296</v>
      </c>
    </row>
    <row r="9" spans="2:4" x14ac:dyDescent="0.3">
      <c r="B9" s="7">
        <v>8</v>
      </c>
      <c r="C9" s="7">
        <v>4010</v>
      </c>
    </row>
    <row r="10" spans="2:4" x14ac:dyDescent="0.3">
      <c r="B10" s="7">
        <v>10</v>
      </c>
      <c r="C10" s="7">
        <v>4650</v>
      </c>
    </row>
    <row r="11" spans="2:4" x14ac:dyDescent="0.3">
      <c r="B11" s="7">
        <v>12</v>
      </c>
      <c r="C11" s="7">
        <v>5145</v>
      </c>
    </row>
    <row r="12" spans="2:4" x14ac:dyDescent="0.3">
      <c r="B12" s="7">
        <v>14</v>
      </c>
      <c r="C12" s="7">
        <v>5593</v>
      </c>
    </row>
    <row r="13" spans="2:4" x14ac:dyDescent="0.3">
      <c r="B13" s="7">
        <v>16</v>
      </c>
      <c r="C13" s="7">
        <v>6055</v>
      </c>
    </row>
    <row r="14" spans="2:4" x14ac:dyDescent="0.3">
      <c r="B14" s="7">
        <v>18</v>
      </c>
      <c r="C14" s="7">
        <v>6512</v>
      </c>
    </row>
    <row r="15" spans="2:4" x14ac:dyDescent="0.3">
      <c r="B15" s="7">
        <v>20</v>
      </c>
      <c r="C15" s="7">
        <v>6955</v>
      </c>
    </row>
    <row r="16" spans="2:4" x14ac:dyDescent="0.3">
      <c r="B16" s="7">
        <v>22</v>
      </c>
      <c r="C16" s="7">
        <v>7420</v>
      </c>
      <c r="D16" t="s">
        <v>47</v>
      </c>
    </row>
    <row r="17" spans="2:4" x14ac:dyDescent="0.3">
      <c r="B17" s="7">
        <v>24</v>
      </c>
      <c r="C17" s="7">
        <v>7842</v>
      </c>
    </row>
    <row r="18" spans="2:4" x14ac:dyDescent="0.3">
      <c r="B18" s="7">
        <v>26</v>
      </c>
      <c r="C18" s="7">
        <v>8317</v>
      </c>
    </row>
    <row r="19" spans="2:4" x14ac:dyDescent="0.3">
      <c r="B19" s="7">
        <v>28</v>
      </c>
      <c r="C19" s="7">
        <v>8750</v>
      </c>
    </row>
    <row r="20" spans="2:4" x14ac:dyDescent="0.3">
      <c r="B20" s="7">
        <v>30</v>
      </c>
      <c r="C20" s="7">
        <v>9234</v>
      </c>
    </row>
    <row r="21" spans="2:4" x14ac:dyDescent="0.3">
      <c r="B21" s="7">
        <v>35</v>
      </c>
      <c r="C21" s="7">
        <v>10342</v>
      </c>
    </row>
    <row r="22" spans="2:4" x14ac:dyDescent="0.3">
      <c r="B22" s="7">
        <v>40</v>
      </c>
      <c r="C22" s="7">
        <v>11501</v>
      </c>
    </row>
    <row r="23" spans="2:4" x14ac:dyDescent="0.3">
      <c r="B23" s="7">
        <v>45</v>
      </c>
      <c r="C23" s="7">
        <v>12628</v>
      </c>
    </row>
    <row r="24" spans="2:4" x14ac:dyDescent="0.3">
      <c r="B24" s="7">
        <v>50</v>
      </c>
      <c r="C24" s="7">
        <v>13730</v>
      </c>
    </row>
    <row r="25" spans="2:4" x14ac:dyDescent="0.3">
      <c r="B25" s="26">
        <v>55</v>
      </c>
      <c r="C25" s="7">
        <v>14860</v>
      </c>
      <c r="D25" s="28" t="s">
        <v>48</v>
      </c>
    </row>
    <row r="26" spans="2:4" x14ac:dyDescent="0.3">
      <c r="B26" s="26"/>
      <c r="C26" s="4"/>
    </row>
    <row r="27" spans="2:4" x14ac:dyDescent="0.3">
      <c r="B27" s="7" t="s">
        <v>7</v>
      </c>
      <c r="C27" s="27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AA4F-868F-4541-A426-295753EC60B7}">
  <dimension ref="B2:D37"/>
  <sheetViews>
    <sheetView tabSelected="1" topLeftCell="A7" workbookViewId="0">
      <selection activeCell="E17" sqref="E17"/>
    </sheetView>
  </sheetViews>
  <sheetFormatPr defaultRowHeight="14.4" x14ac:dyDescent="0.3"/>
  <cols>
    <col min="3" max="3" width="16.77734375" customWidth="1"/>
  </cols>
  <sheetData>
    <row r="2" spans="2:3" x14ac:dyDescent="0.3">
      <c r="B2" s="5" t="s">
        <v>49</v>
      </c>
    </row>
    <row r="3" spans="2:3" x14ac:dyDescent="0.3">
      <c r="B3" s="7" t="s">
        <v>4</v>
      </c>
      <c r="C3" s="25"/>
    </row>
    <row r="4" spans="2:3" x14ac:dyDescent="0.3">
      <c r="B4" s="7" t="s">
        <v>1</v>
      </c>
      <c r="C4" s="7" t="s">
        <v>2</v>
      </c>
    </row>
    <row r="5" spans="2:3" x14ac:dyDescent="0.3">
      <c r="B5" s="7">
        <v>0</v>
      </c>
      <c r="C5" s="7">
        <v>4708</v>
      </c>
    </row>
    <row r="6" spans="2:3" x14ac:dyDescent="0.3">
      <c r="B6" s="7">
        <v>5</v>
      </c>
      <c r="C6" s="7">
        <v>4960</v>
      </c>
    </row>
    <row r="7" spans="2:3" x14ac:dyDescent="0.3">
      <c r="B7" s="7">
        <v>10</v>
      </c>
      <c r="C7" s="7">
        <v>4983</v>
      </c>
    </row>
    <row r="8" spans="2:3" x14ac:dyDescent="0.3">
      <c r="B8" s="7">
        <v>15</v>
      </c>
      <c r="C8" s="7">
        <v>4994</v>
      </c>
    </row>
    <row r="9" spans="2:3" x14ac:dyDescent="0.3">
      <c r="B9" s="7">
        <v>20</v>
      </c>
      <c r="C9" s="7">
        <v>5130</v>
      </c>
    </row>
    <row r="10" spans="2:3" x14ac:dyDescent="0.3">
      <c r="B10" s="7">
        <v>25</v>
      </c>
      <c r="C10" s="7">
        <v>5663</v>
      </c>
    </row>
    <row r="11" spans="2:3" x14ac:dyDescent="0.3">
      <c r="B11" s="7">
        <v>30</v>
      </c>
      <c r="C11" s="7">
        <v>6012</v>
      </c>
    </row>
    <row r="12" spans="2:3" x14ac:dyDescent="0.3">
      <c r="B12" s="7">
        <v>35</v>
      </c>
      <c r="C12" s="7">
        <v>6606</v>
      </c>
    </row>
    <row r="13" spans="2:3" x14ac:dyDescent="0.3">
      <c r="B13" s="7">
        <v>40</v>
      </c>
      <c r="C13" s="7">
        <v>7250</v>
      </c>
    </row>
    <row r="14" spans="2:3" x14ac:dyDescent="0.3">
      <c r="B14" s="7">
        <v>45</v>
      </c>
      <c r="C14" s="7">
        <v>7623</v>
      </c>
    </row>
    <row r="15" spans="2:3" x14ac:dyDescent="0.3">
      <c r="B15" s="7">
        <v>50</v>
      </c>
      <c r="C15" s="7">
        <v>8321</v>
      </c>
    </row>
    <row r="16" spans="2:3" x14ac:dyDescent="0.3">
      <c r="B16" s="7">
        <v>55</v>
      </c>
      <c r="C16" s="7">
        <v>8720</v>
      </c>
    </row>
    <row r="17" spans="2:4" x14ac:dyDescent="0.3">
      <c r="B17" s="7">
        <v>60</v>
      </c>
      <c r="C17" s="7">
        <v>9270</v>
      </c>
    </row>
    <row r="18" spans="2:4" x14ac:dyDescent="0.3">
      <c r="B18" s="7">
        <v>65</v>
      </c>
      <c r="C18" s="7">
        <v>9835</v>
      </c>
    </row>
    <row r="19" spans="2:4" x14ac:dyDescent="0.3">
      <c r="B19" s="7">
        <v>70</v>
      </c>
      <c r="C19" s="7">
        <v>10419</v>
      </c>
    </row>
    <row r="20" spans="2:4" x14ac:dyDescent="0.3">
      <c r="B20" s="7">
        <v>75</v>
      </c>
      <c r="C20" s="7">
        <v>10950</v>
      </c>
    </row>
    <row r="21" spans="2:4" x14ac:dyDescent="0.3">
      <c r="B21" s="7">
        <v>80</v>
      </c>
      <c r="C21" s="7">
        <v>11554</v>
      </c>
    </row>
    <row r="22" spans="2:4" x14ac:dyDescent="0.3">
      <c r="B22" s="7">
        <v>85</v>
      </c>
      <c r="C22" s="7">
        <v>12032</v>
      </c>
    </row>
    <row r="23" spans="2:4" x14ac:dyDescent="0.3">
      <c r="B23" s="7">
        <v>100</v>
      </c>
      <c r="C23" s="7">
        <v>12606</v>
      </c>
    </row>
    <row r="24" spans="2:4" x14ac:dyDescent="0.3">
      <c r="B24" s="7">
        <v>110</v>
      </c>
      <c r="C24" s="7">
        <v>13663</v>
      </c>
    </row>
    <row r="25" spans="2:4" x14ac:dyDescent="0.3">
      <c r="B25" s="26">
        <v>120</v>
      </c>
      <c r="C25" s="7">
        <v>14710</v>
      </c>
    </row>
    <row r="26" spans="2:4" x14ac:dyDescent="0.3">
      <c r="B26" s="26">
        <v>130</v>
      </c>
      <c r="C26" s="7">
        <v>15775</v>
      </c>
    </row>
    <row r="27" spans="2:4" x14ac:dyDescent="0.3">
      <c r="B27" s="7">
        <v>140</v>
      </c>
      <c r="C27" s="7">
        <v>16809</v>
      </c>
    </row>
    <row r="28" spans="2:4" x14ac:dyDescent="0.3">
      <c r="B28" s="7">
        <v>150</v>
      </c>
      <c r="C28" s="7">
        <v>17906</v>
      </c>
    </row>
    <row r="29" spans="2:4" x14ac:dyDescent="0.3">
      <c r="B29" s="7">
        <v>160</v>
      </c>
      <c r="C29" s="7">
        <v>19008</v>
      </c>
    </row>
    <row r="30" spans="2:4" x14ac:dyDescent="0.3">
      <c r="B30" s="7">
        <v>170</v>
      </c>
      <c r="C30" s="7">
        <v>20087</v>
      </c>
    </row>
    <row r="31" spans="2:4" x14ac:dyDescent="0.3">
      <c r="B31" s="7">
        <v>180</v>
      </c>
      <c r="C31" s="7">
        <v>21120</v>
      </c>
      <c r="D31" s="29" t="s">
        <v>48</v>
      </c>
    </row>
    <row r="32" spans="2:4" x14ac:dyDescent="0.3">
      <c r="B32" s="7"/>
      <c r="C32" s="4"/>
    </row>
    <row r="33" spans="2:3" x14ac:dyDescent="0.3">
      <c r="B33" s="7"/>
      <c r="C33" s="4"/>
    </row>
    <row r="34" spans="2:3" x14ac:dyDescent="0.3">
      <c r="B34" s="7"/>
      <c r="C34" s="4"/>
    </row>
    <row r="35" spans="2:3" x14ac:dyDescent="0.3">
      <c r="B35" s="7"/>
      <c r="C35" s="4"/>
    </row>
    <row r="36" spans="2:3" x14ac:dyDescent="0.3">
      <c r="B36" s="7"/>
      <c r="C36" s="4"/>
    </row>
    <row r="37" spans="2:3" x14ac:dyDescent="0.3">
      <c r="B37" s="4"/>
      <c r="C37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2ек2</vt:lpstr>
      <vt:lpstr>2ев4</vt:lpstr>
      <vt:lpstr>насос 2НД2</vt:lpstr>
      <vt:lpstr>насос 2НД1</vt:lpstr>
      <vt:lpstr>насос 2НД1 (2)</vt:lpstr>
      <vt:lpstr>2НД2 04.03.2026</vt:lpstr>
      <vt:lpstr>среда расчет</vt:lpstr>
      <vt:lpstr>2ек2 12.03.2026</vt:lpstr>
      <vt:lpstr>2ЕЩ6 24.03.2026</vt:lpstr>
      <vt:lpstr>2ЕЩ6 24.03.2026 (2)</vt:lpstr>
      <vt:lpstr>3ЕТ1 18.05.2026</vt:lpstr>
      <vt:lpstr>3ЕВ3 18.05.2026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Загоскина</dc:creator>
  <cp:lastModifiedBy>Анастасия Загоскина</cp:lastModifiedBy>
  <cp:revision>1</cp:revision>
  <cp:lastPrinted>2026-05-18T12:45:37Z</cp:lastPrinted>
  <dcterms:created xsi:type="dcterms:W3CDTF">2025-10-20T18:10:53Z</dcterms:created>
  <dcterms:modified xsi:type="dcterms:W3CDTF">2026-05-18T13:54:57Z</dcterms:modified>
</cp:coreProperties>
</file>